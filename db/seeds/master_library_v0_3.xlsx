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Change Log" sheetId="2" state="visible" r:id="rId4"/>
    <sheet name="Families" sheetId="3" state="visible" r:id="rId5"/>
    <sheet name="System Types" sheetId="4" state="visible" r:id="rId6"/>
    <sheet name="Manufacturers" sheetId="5" state="visible" r:id="rId7"/>
    <sheet name="Work Types" sheetId="6" state="visible" r:id="rId8"/>
    <sheet name="Active Catalog (Mock)" sheetId="7" state="visible" r:id="rId9"/>
    <sheet name="Auto-Door Addendum" sheetId="8" state="visible" r:id="rId10"/>
    <sheet name="Requests &amp; Gaps"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<sst xmlns="http://schemas.openxmlformats.org/spreadsheetml/2006/main" count="1511" uniqueCount="737">
  <si>
    <t xml:space="preserve">BanyanOS Master Library — v0.3 DRAFT</t>
  </si>
  <si>
    <t xml:space="preserve">Integrates Sean's v0.2 feedback + resolves manufacturer verifies</t>
  </si>
  <si>
    <t xml:space="preserve">What changed in v0.3</t>
  </si>
  <si>
    <t xml:space="preserve">Three surgical changes to the Manufacturers tab: (1) Technoglas removed — confirmed typo for Tecnoglass. (2) Belstone updated — confirmed as Belstone Products (shower enclosures). (3) Clover added — new Panels/Metalwork manufacturer. Requests &amp; Gaps tab updated — all previously-open verification and governance items now CLOSED. Only deferred or follow-on items remain.</t>
  </si>
  <si>
    <t xml:space="preserve">Registry is ready to ratify</t>
  </si>
  <si>
    <t xml:space="preserve">This version resolves every open data question raised during v0.1-v0.2 red-pen. The Master Library is now in a ratifiable state. GC-D041 + GC-D042 paired governance decision is the next artifact — delivered in the same session as this v0.3.</t>
  </si>
  <si>
    <t xml:space="preserve">Tab guide (v0.3)</t>
  </si>
  <si>
    <t xml:space="preserve">  1. README</t>
  </si>
  <si>
    <t xml:space="preserve">This tab.</t>
  </si>
  <si>
    <t xml:space="preserve">  2. Change Log</t>
  </si>
  <si>
    <t xml:space="preserve">v0.1 → v0.2 → v0.3 changes.</t>
  </si>
  <si>
    <t xml:space="preserve">  3. Families</t>
  </si>
  <si>
    <t xml:space="preserve">11 top-level categories. All ON.</t>
  </si>
  <si>
    <t xml:space="preserve">  4. System Types</t>
  </si>
  <si>
    <t xml:space="preserve">79 enumerated scopes. All ON.</t>
  </si>
  <si>
    <t xml:space="preserve">  5. Manufacturers</t>
  </si>
  <si>
    <t xml:space="preserve">65 entries (no net change from v0.2 — removed Technoglas typo, added Clover). All ON.</t>
  </si>
  <si>
    <t xml:space="preserve">  6. Work Types</t>
  </si>
  <si>
    <t xml:space="preserve">10 fixed action verbs. Unchanged.</t>
  </si>
  <si>
    <t xml:space="preserve">  7. Active Catalog (Mock)</t>
  </si>
  <si>
    <t xml:space="preserve">Toggle UI mock.</t>
  </si>
  <si>
    <t xml:space="preserve">  8. Auto-Door Addendum</t>
  </si>
  <si>
    <t xml:space="preserve">ASSA ABLOY notes.</t>
  </si>
  <si>
    <t xml:space="preserve">  9. Requests &amp; Gaps</t>
  </si>
  <si>
    <t xml:space="preserve">All previously-open items now CLOSED. Only deferred/follow-on items remain.</t>
  </si>
  <si>
    <t xml:space="preserve">What's next</t>
  </si>
  <si>
    <t xml:space="preserve">GC-D041 + GC-D042 paired governance decision (delivered same session). ChatGPT intake prompt for Jenny's interim bridge. AAADM Compliance Inspection Form template specification. Door Inspection Form template specification. Alpha form builds deferred to later session per Sean's direction.</t>
  </si>
  <si>
    <t xml:space="preserve">Version / Date</t>
  </si>
  <si>
    <t xml:space="preserve">v0.3 DRAFT — April 23, 2026</t>
  </si>
  <si>
    <t xml:space="preserve">Prepared by</t>
  </si>
  <si>
    <t xml:space="preserve">XO (Claude) — integrating Sean's v0.2 feedback</t>
  </si>
  <si>
    <t xml:space="preserve">Version</t>
  </si>
  <si>
    <t xml:space="preserve">Date</t>
  </si>
  <si>
    <t xml:space="preserve">Summary of Changes</t>
  </si>
  <si>
    <t xml:space="preserve">v0.3</t>
  </si>
  <si>
    <t xml:space="preserve">2026-04-23</t>
  </si>
  <si>
    <t xml:space="preserve">Sean's v0.2 feedback integrated. (1) Technoglas removed — confirmed as Sean's spelling variant of Tecnoglass (MFG-200). No separate entry needed. (2) Belstone UPDATED — confirmed by Sean as Belstone Products, shower enclosure supplier (belstoneproducts.com). Moved to Shower trade role. (3) Clover ADDED — new manufacturer for Panels / Metalwork per Sean's v0.2 list. (4) Requests &amp; Gaps tab reduced — manufacturer/system-type verify items resolved. Only governance-mechanism items remain (and those are now resolved via paired GC-D041 + GC-D042 governance draft in this same turn). Net manufacturer count: 65 (unchanged — removed Technoglas, added Clover).</t>
  </si>
  <si>
    <t xml:space="preserve">v0.2</t>
  </si>
  <si>
    <t xml:space="preserve">Sean's v0.1 markup integrated. All OFF → ON across Families, System Types, Manufacturers. New system type: Resin / Decorative Panels (ST-110). 17 new manufacturers added. Besam Unislide and Besam Frame Solutions removed from Auto-Door Addendum. Change Log and Requests &amp; Gaps tabs added.</t>
  </si>
  <si>
    <t xml:space="preserve">v0.1</t>
  </si>
  <si>
    <t xml:space="preserve">2026-04-22</t>
  </si>
  <si>
    <t xml:space="preserve">Initial draft. 11 Families, 78 System Types, 47 Manufacturers, 10 Work Types. Seeded from Glaziers Union Master Labor Agreement, ServiceIntake.tsx array, Master Spec §13.14 canonical 15, and CSI MasterFormat Division 08.</t>
  </si>
  <si>
    <t xml:space="preserve">Family ID</t>
  </si>
  <si>
    <t xml:space="preserve">Family Name</t>
  </si>
  <si>
    <t xml:space="preserve">Gold Data Rollup</t>
  </si>
  <si>
    <t xml:space="preserve">Kula Active</t>
  </si>
  <si>
    <t xml:space="preserve">Description</t>
  </si>
  <si>
    <t xml:space="preserve">FAM-01</t>
  </si>
  <si>
    <t xml:space="preserve">Storefront &amp; Window Wall</t>
  </si>
  <si>
    <t xml:space="preserve">Yes</t>
  </si>
  <si>
    <t xml:space="preserve">ON</t>
  </si>
  <si>
    <t xml:space="preserve">Aluminum framing systems with glass infill, typically ground-level. Gold Data rolls up here.</t>
  </si>
  <si>
    <t xml:space="preserve">FAM-02</t>
  </si>
  <si>
    <t xml:space="preserve">Curtainwall</t>
  </si>
  <si>
    <t xml:space="preserve">Engineered aluminum facades, stick-built or unitized. Often includes structural silicone glazing variants.</t>
  </si>
  <si>
    <t xml:space="preserve">FAM-03</t>
  </si>
  <si>
    <t xml:space="preserve">Doors &amp; Entrances</t>
  </si>
  <si>
    <t xml:space="preserve">Manual and automatic entrance doors. Distinct from Storefront because of hardware/operator focus.</t>
  </si>
  <si>
    <t xml:space="preserve">FAM-04</t>
  </si>
  <si>
    <t xml:space="preserve">Glass-Only Scopes</t>
  </si>
  <si>
    <t xml:space="preserve">Glass replacement, re-glazing, and specialty glass work that doesn't involve framing system install.</t>
  </si>
  <si>
    <t xml:space="preserve">FAM-05</t>
  </si>
  <si>
    <t xml:space="preserve">Shower &amp; Tub Enclosures</t>
  </si>
  <si>
    <t xml:space="preserve">Heavy glass, semi-framed, and framed bath enclosures.</t>
  </si>
  <si>
    <t xml:space="preserve">FAM-06</t>
  </si>
  <si>
    <t xml:space="preserve">Railings &amp; Guards</t>
  </si>
  <si>
    <t xml:space="preserve">Glass handrails, guardrails, balusters, and glass-infill metal rail systems.</t>
  </si>
  <si>
    <t xml:space="preserve">FAM-07</t>
  </si>
  <si>
    <t xml:space="preserve">Skylights &amp; Sloped Glazing</t>
  </si>
  <si>
    <t xml:space="preserve">Overhead and sloped glazing systems. Includes operable skylights.</t>
  </si>
  <si>
    <t xml:space="preserve">FAM-08</t>
  </si>
  <si>
    <t xml:space="preserve">Interior Partitions</t>
  </si>
  <si>
    <t xml:space="preserve">Interior glass walls — demountable, folding/operable, fixed glass partitions.</t>
  </si>
  <si>
    <t xml:space="preserve">FAM-09</t>
  </si>
  <si>
    <t xml:space="preserve">Panels &amp; Metalwork</t>
  </si>
  <si>
    <t xml:space="preserve">Non-glass panels and architectural metals within glazier scope.</t>
  </si>
  <si>
    <t xml:space="preserve">FAM-10</t>
  </si>
  <si>
    <t xml:space="preserve">Service &amp; Repair</t>
  </si>
  <si>
    <t xml:space="preserve">No</t>
  </si>
  <si>
    <t xml:space="preserve">Diagnostic, adjustment, board-up, sealant, non-install service. Rolled up for billing, not Gold Data.</t>
  </si>
  <si>
    <t xml:space="preserve">FAM-11</t>
  </si>
  <si>
    <t xml:space="preserve">Specialty &amp; Novel</t>
  </si>
  <si>
    <t xml:space="preserve">Emerging technologies and one-off scopes.</t>
  </si>
  <si>
    <t xml:space="preserve">System ID</t>
  </si>
  <si>
    <t xml:space="preserve">System Type Name</t>
  </si>
  <si>
    <t xml:space="preserve">Family</t>
  </si>
  <si>
    <t xml:space="preserve">Family Name (lookup)</t>
  </si>
  <si>
    <t xml:space="preserve">Common Aliases</t>
  </si>
  <si>
    <t xml:space="preserve">Notes</t>
  </si>
  <si>
    <t xml:space="preserve">ST-001</t>
  </si>
  <si>
    <t xml:space="preserve">Storefront — Exterior</t>
  </si>
  <si>
    <t xml:space="preserve">SF, storefront, entry system</t>
  </si>
  <si>
    <t xml:space="preserve">Standard exterior storefront framing.</t>
  </si>
  <si>
    <t xml:space="preserve">ST-002</t>
  </si>
  <si>
    <t xml:space="preserve">Storefront — Interior</t>
  </si>
  <si>
    <t xml:space="preserve">Interior SF, interior storefront</t>
  </si>
  <si>
    <t xml:space="preserve">Interior storefront framing, often office fronts.</t>
  </si>
  <si>
    <t xml:space="preserve">ST-003</t>
  </si>
  <si>
    <t xml:space="preserve">Storefront Door (in SF system)</t>
  </si>
  <si>
    <t xml:space="preserve">SF door, SFD, storefront door</t>
  </si>
  <si>
    <t xml:space="preserve">Door hung within a storefront frame. Nate's original blocker.</t>
  </si>
  <si>
    <t xml:space="preserve">ST-004</t>
  </si>
  <si>
    <t xml:space="preserve">All-Glass Entrance / Herculite</t>
  </si>
  <si>
    <t xml:space="preserve">herculite, all-glass door, patch fitting door</t>
  </si>
  <si>
    <t xml:space="preserve">Frameless tempered glass entrance with patch fittings.</t>
  </si>
  <si>
    <t xml:space="preserve">ST-005</t>
  </si>
  <si>
    <t xml:space="preserve">Window Wall</t>
  </si>
  <si>
    <t xml:space="preserve">WW, slab-to-slab</t>
  </si>
  <si>
    <t xml:space="preserve">Slab-to-slab non-structural glazing.</t>
  </si>
  <si>
    <t xml:space="preserve">ST-006</t>
  </si>
  <si>
    <t xml:space="preserve">Punched Window</t>
  </si>
  <si>
    <t xml:space="preserve">punched opening, window in opening</t>
  </si>
  <si>
    <t xml:space="preserve">Individual window set in masonry or framed opening.</t>
  </si>
  <si>
    <t xml:space="preserve">ST-007</t>
  </si>
  <si>
    <t xml:space="preserve">Ribbon Window</t>
  </si>
  <si>
    <t xml:space="preserve">horizontal ribbon, strip window</t>
  </si>
  <si>
    <t xml:space="preserve">Horizontal continuous window run.</t>
  </si>
  <si>
    <t xml:space="preserve">ST-008</t>
  </si>
  <si>
    <t xml:space="preserve">Block Frame Window</t>
  </si>
  <si>
    <t xml:space="preserve">block frame, nail fin</t>
  </si>
  <si>
    <t xml:space="preserve">Residential/light commercial window with block frame.</t>
  </si>
  <si>
    <t xml:space="preserve">ST-009</t>
  </si>
  <si>
    <t xml:space="preserve">Operable Vent (in SF/CW)</t>
  </si>
  <si>
    <t xml:space="preserve">AWO, projected vent, casement</t>
  </si>
  <si>
    <t xml:space="preserve">Operable vent integrated into storefront or curtainwall.</t>
  </si>
  <si>
    <t xml:space="preserve">ST-010</t>
  </si>
  <si>
    <t xml:space="preserve">Curtainwall — Stick-Built</t>
  </si>
  <si>
    <t xml:space="preserve">CW, stick CW</t>
  </si>
  <si>
    <t xml:space="preserve">Site-assembled curtainwall.</t>
  </si>
  <si>
    <t xml:space="preserve">ST-011</t>
  </si>
  <si>
    <t xml:space="preserve">Curtainwall — Unitized</t>
  </si>
  <si>
    <t xml:space="preserve">unitized CW, UCW, factory unit</t>
  </si>
  <si>
    <t xml:space="preserve">Shop-fabricated CW units.</t>
  </si>
  <si>
    <t xml:space="preserve">ST-012</t>
  </si>
  <si>
    <t xml:space="preserve">Curtainwall — Structural Silicone (SSG)</t>
  </si>
  <si>
    <t xml:space="preserve">SSG, 4-sided SSG, 2-sided SSG</t>
  </si>
  <si>
    <t xml:space="preserve">CW with structural silicone glass retention.</t>
  </si>
  <si>
    <t xml:space="preserve">ST-013</t>
  </si>
  <si>
    <t xml:space="preserve">Curtainwall — Point-Supported</t>
  </si>
  <si>
    <t xml:space="preserve">spider fitting, bolted glass</t>
  </si>
  <si>
    <t xml:space="preserve">Glass held by point fittings.</t>
  </si>
  <si>
    <t xml:space="preserve">ST-020</t>
  </si>
  <si>
    <t xml:space="preserve">Aluminum Door — Exterior</t>
  </si>
  <si>
    <t xml:space="preserve">alum door, narrow stile, medium stile, wide stile</t>
  </si>
  <si>
    <t xml:space="preserve">Manual aluminum entrance door.</t>
  </si>
  <si>
    <t xml:space="preserve">ST-021</t>
  </si>
  <si>
    <t xml:space="preserve">Aluminum Door — Interior</t>
  </si>
  <si>
    <t xml:space="preserve">interior alum door</t>
  </si>
  <si>
    <t xml:space="preserve">Manual aluminum door, interior.</t>
  </si>
  <si>
    <t xml:space="preserve">ST-022</t>
  </si>
  <si>
    <t xml:space="preserve">Hollow Metal Door w/ Vision Lite</t>
  </si>
  <si>
    <t xml:space="preserve">HM door, vision lite glazing, vision panel</t>
  </si>
  <si>
    <t xml:space="preserve">Glazing vision lites into HM doors.</t>
  </si>
  <si>
    <t xml:space="preserve">ST-023</t>
  </si>
  <si>
    <t xml:space="preserve">Hollow Metal Frame Glazing</t>
  </si>
  <si>
    <t xml:space="preserve">HM frame, borrowed lite</t>
  </si>
  <si>
    <t xml:space="preserve">Glazing fixed lites into HM frames.</t>
  </si>
  <si>
    <t xml:space="preserve">ST-024</t>
  </si>
  <si>
    <t xml:space="preserve">Automatic Swing Entrance</t>
  </si>
  <si>
    <t xml:space="preserve">auto swing, swinger, ASSA SW200 swing</t>
  </si>
  <si>
    <t xml:space="preserve">Motorized swing door. AAADM-inspectable.</t>
  </si>
  <si>
    <t xml:space="preserve">ST-025</t>
  </si>
  <si>
    <t xml:space="preserve">Automatic Sliding Entrance</t>
  </si>
  <si>
    <t xml:space="preserve">auto slider, bi-parting, telescopic slider</t>
  </si>
  <si>
    <t xml:space="preserve">Motorized sliding door. AAADM-inspectable.</t>
  </si>
  <si>
    <t xml:space="preserve">ST-026</t>
  </si>
  <si>
    <t xml:space="preserve">Automatic Revolving Entrance</t>
  </si>
  <si>
    <t xml:space="preserve">revolver, revolving door</t>
  </si>
  <si>
    <t xml:space="preserve">Motorized revolving door. AAADM-inspectable.</t>
  </si>
  <si>
    <t xml:space="preserve">ST-027</t>
  </si>
  <si>
    <t xml:space="preserve">ICU / Breakout Door</t>
  </si>
  <si>
    <t xml:space="preserve">ICU door, breakout slider</t>
  </si>
  <si>
    <t xml:space="preserve">Specialty healthcare auto door.</t>
  </si>
  <si>
    <t xml:space="preserve">ST-028</t>
  </si>
  <si>
    <t xml:space="preserve">Balanced Door</t>
  </si>
  <si>
    <t xml:space="preserve">Ellison, balanced</t>
  </si>
  <si>
    <t xml:space="preserve">Pivot-hung balanced door.</t>
  </si>
  <si>
    <t xml:space="preserve">ST-029</t>
  </si>
  <si>
    <t xml:space="preserve">Sliding Patio Door</t>
  </si>
  <si>
    <t xml:space="preserve">patio slider, SGD</t>
  </si>
  <si>
    <t xml:space="preserve">Sliding patio door.</t>
  </si>
  <si>
    <t xml:space="preserve">ST-030</t>
  </si>
  <si>
    <t xml:space="preserve">Door Hardware — Replacement</t>
  </si>
  <si>
    <t xml:space="preserve">hardware replace, closer replace</t>
  </si>
  <si>
    <t xml:space="preserve">Replace closer, hinges, lockset, panic.</t>
  </si>
  <si>
    <t xml:space="preserve">ST-031</t>
  </si>
  <si>
    <t xml:space="preserve">Door Hardware — Adjustment</t>
  </si>
  <si>
    <t xml:space="preserve">adjustment, tune-up</t>
  </si>
  <si>
    <t xml:space="preserve">Adjust closer sweep/latch, hinges.</t>
  </si>
  <si>
    <t xml:space="preserve">ST-032</t>
  </si>
  <si>
    <t xml:space="preserve">Panic / Exit Device</t>
  </si>
  <si>
    <t xml:space="preserve">panic bar, crash bar, exit device</t>
  </si>
  <si>
    <t xml:space="preserve">Install/replace panic hardware.</t>
  </si>
  <si>
    <t xml:space="preserve">ST-033</t>
  </si>
  <si>
    <t xml:space="preserve">Access Control Prep</t>
  </si>
  <si>
    <t xml:space="preserve">elec strike prep, mag lock prep</t>
  </si>
  <si>
    <t xml:space="preserve">Rough-in for access control by others.</t>
  </si>
  <si>
    <t xml:space="preserve">ST-034</t>
  </si>
  <si>
    <t xml:space="preserve">Auto Door — Annual AAADM Inspection</t>
  </si>
  <si>
    <t xml:space="preserve">AAADM, annual cert, annual safety inspection</t>
  </si>
  <si>
    <t xml:space="preserve">Annual safety inspection per ANSI 156.10/156.19/156.38. AAADM-certified only.</t>
  </si>
  <si>
    <t xml:space="preserve">ST-035</t>
  </si>
  <si>
    <t xml:space="preserve">Auto Door — Repair Service</t>
  </si>
  <si>
    <t xml:space="preserve">auto door repair, operator service</t>
  </si>
  <si>
    <t xml:space="preserve">Service call on automatic door.</t>
  </si>
  <si>
    <t xml:space="preserve">ST-040</t>
  </si>
  <si>
    <t xml:space="preserve">IGU Replacement</t>
  </si>
  <si>
    <t xml:space="preserve">IG unit, dual pane, insulated glass</t>
  </si>
  <si>
    <t xml:space="preserve">Replace failed/damaged IGU.</t>
  </si>
  <si>
    <t xml:space="preserve">ST-041</t>
  </si>
  <si>
    <t xml:space="preserve">Single-Lite (Monolithic) Replacement</t>
  </si>
  <si>
    <t xml:space="preserve">mono lite, single pane</t>
  </si>
  <si>
    <t xml:space="preserve">Replace single-pane monolithic glass.</t>
  </si>
  <si>
    <t xml:space="preserve">ST-042</t>
  </si>
  <si>
    <t xml:space="preserve">Tempered Glass Replacement</t>
  </si>
  <si>
    <t xml:space="preserve">tempered replacement</t>
  </si>
  <si>
    <t xml:space="preserve">Replace tempered safety glass.</t>
  </si>
  <si>
    <t xml:space="preserve">ST-043</t>
  </si>
  <si>
    <t xml:space="preserve">Laminated Glass Replacement</t>
  </si>
  <si>
    <t xml:space="preserve">laminated, lami, PVB</t>
  </si>
  <si>
    <t xml:space="preserve">Replace laminated glass.</t>
  </si>
  <si>
    <t xml:space="preserve">ST-044</t>
  </si>
  <si>
    <t xml:space="preserve">Spandrel Replacement</t>
  </si>
  <si>
    <t xml:space="preserve">spandrel panel, opaque infill</t>
  </si>
  <si>
    <t xml:space="preserve">Replace opaque spandrel panel.</t>
  </si>
  <si>
    <t xml:space="preserve">ST-045</t>
  </si>
  <si>
    <t xml:space="preserve">Mirror — Wall Mounted</t>
  </si>
  <si>
    <t xml:space="preserve">mirror, wall mirror</t>
  </si>
  <si>
    <t xml:space="preserve">Install/replace wall mirror.</t>
  </si>
  <si>
    <t xml:space="preserve">ST-046</t>
  </si>
  <si>
    <t xml:space="preserve">Mirror — Wardrobe Door</t>
  </si>
  <si>
    <t xml:space="preserve">wardrobe mirror, closet mirror</t>
  </si>
  <si>
    <t xml:space="preserve">Mirrored closet door.</t>
  </si>
  <si>
    <t xml:space="preserve">ST-047</t>
  </si>
  <si>
    <t xml:space="preserve">Back-Painted Glass / Marker Board</t>
  </si>
  <si>
    <t xml:space="preserve">painted glass, marker board, writing wall</t>
  </si>
  <si>
    <t xml:space="preserve">Back-painted tempered glass.</t>
  </si>
  <si>
    <t xml:space="preserve">ST-048</t>
  </si>
  <si>
    <t xml:space="preserve">Fire-Rated Glazing</t>
  </si>
  <si>
    <t xml:space="preserve">fire glass, fire rated, FireLite</t>
  </si>
  <si>
    <t xml:space="preserve">Fire-rated glass/framing assemblies.</t>
  </si>
  <si>
    <t xml:space="preserve">ST-049</t>
  </si>
  <si>
    <t xml:space="preserve">Bullet-Resistant Glazing</t>
  </si>
  <si>
    <t xml:space="preserve">BR glass, ballistic</t>
  </si>
  <si>
    <t xml:space="preserve">UL-listed BR glazing.</t>
  </si>
  <si>
    <t xml:space="preserve">ST-050</t>
  </si>
  <si>
    <t xml:space="preserve">Structural Glass Fin</t>
  </si>
  <si>
    <t xml:space="preserve">glass fin, fin wall</t>
  </si>
  <si>
    <t xml:space="preserve">Structural glass mullion.</t>
  </si>
  <si>
    <t xml:space="preserve">ST-060</t>
  </si>
  <si>
    <t xml:space="preserve">Shower — Heavy Glass Frameless</t>
  </si>
  <si>
    <t xml:space="preserve">HG shower, frameless</t>
  </si>
  <si>
    <t xml:space="preserve">3/8 or 1/2 tempered heavy glass shower.</t>
  </si>
  <si>
    <t xml:space="preserve">ST-061</t>
  </si>
  <si>
    <t xml:space="preserve">Shower — Semi-Frameless</t>
  </si>
  <si>
    <t xml:space="preserve">semi-frameless, semi-framed</t>
  </si>
  <si>
    <t xml:space="preserve">Partial framing with heavy glass.</t>
  </si>
  <si>
    <t xml:space="preserve">ST-062</t>
  </si>
  <si>
    <t xml:space="preserve">Shower — Framed</t>
  </si>
  <si>
    <t xml:space="preserve">framed shower, metal framed</t>
  </si>
  <si>
    <t xml:space="preserve">Traditional framed shower.</t>
  </si>
  <si>
    <t xml:space="preserve">ST-063</t>
  </si>
  <si>
    <t xml:space="preserve">Tub Enclosure</t>
  </si>
  <si>
    <t xml:space="preserve">tub slider, tub door</t>
  </si>
  <si>
    <t xml:space="preserve">Bathtub enclosure.</t>
  </si>
  <si>
    <t xml:space="preserve">ST-070</t>
  </si>
  <si>
    <t xml:space="preserve">Glass Handrail — Top-Capped</t>
  </si>
  <si>
    <t xml:space="preserve">glass rail, top rail, capped</t>
  </si>
  <si>
    <t xml:space="preserve">Glass railing with top cap.</t>
  </si>
  <si>
    <t xml:space="preserve">ST-071</t>
  </si>
  <si>
    <t xml:space="preserve">Glass Handrail — Frameless Cap-less</t>
  </si>
  <si>
    <t xml:space="preserve">frameless rail, no cap</t>
  </si>
  <si>
    <t xml:space="preserve">Frameless glass guard no top rail.</t>
  </si>
  <si>
    <t xml:space="preserve">ST-072</t>
  </si>
  <si>
    <t xml:space="preserve">Glass Infill Metal Rail</t>
  </si>
  <si>
    <t xml:space="preserve">metal rail glass infill, post and panel</t>
  </si>
  <si>
    <t xml:space="preserve">Metal posts/rails, glass infill.</t>
  </si>
  <si>
    <t xml:space="preserve">ST-080</t>
  </si>
  <si>
    <t xml:space="preserve">Skylight — Fixed</t>
  </si>
  <si>
    <t xml:space="preserve">fixed skylight</t>
  </si>
  <si>
    <t xml:space="preserve">Fixed skylight.</t>
  </si>
  <si>
    <t xml:space="preserve">ST-081</t>
  </si>
  <si>
    <t xml:space="preserve">Skylight — Operable</t>
  </si>
  <si>
    <t xml:space="preserve">vented skylight, operable skylight</t>
  </si>
  <si>
    <t xml:space="preserve">Operable skylight.</t>
  </si>
  <si>
    <t xml:space="preserve">ST-082</t>
  </si>
  <si>
    <t xml:space="preserve">Sloped Glazing (non-skylight)</t>
  </si>
  <si>
    <t xml:space="preserve">slope glaze, canopy glazing</t>
  </si>
  <si>
    <t xml:space="preserve">Sloped/overhead glazing.</t>
  </si>
  <si>
    <t xml:space="preserve">ST-083</t>
  </si>
  <si>
    <t xml:space="preserve">Glass Canopy</t>
  </si>
  <si>
    <t xml:space="preserve">entry canopy, glass awning</t>
  </si>
  <si>
    <t xml:space="preserve">Glass canopy.</t>
  </si>
  <si>
    <t xml:space="preserve">ST-090</t>
  </si>
  <si>
    <t xml:space="preserve">Interior Glass Partition — Fixed</t>
  </si>
  <si>
    <t xml:space="preserve">fixed partition, glass wall</t>
  </si>
  <si>
    <t xml:space="preserve">Fixed glass partition wall.</t>
  </si>
  <si>
    <t xml:space="preserve">ST-091</t>
  </si>
  <si>
    <t xml:space="preserve">Interior Glass Partition — Demountable</t>
  </si>
  <si>
    <t xml:space="preserve">demountable, DIRTT, Nxtwall</t>
  </si>
  <si>
    <t xml:space="preserve">Demountable office partition.</t>
  </si>
  <si>
    <t xml:space="preserve">ST-092</t>
  </si>
  <si>
    <t xml:space="preserve">Interior Glass Partition — Folding/Operable</t>
  </si>
  <si>
    <t xml:space="preserve">folding partition, operable wall, NanaWall</t>
  </si>
  <si>
    <t xml:space="preserve">Folding/stacking glass partition.</t>
  </si>
  <si>
    <t xml:space="preserve">ST-093</t>
  </si>
  <si>
    <t xml:space="preserve">Glass Door in Partition</t>
  </si>
  <si>
    <t xml:space="preserve">partition door, pivot partition door</t>
  </si>
  <si>
    <t xml:space="preserve">Glass door in interior partition.</t>
  </si>
  <si>
    <t xml:space="preserve">ST-100</t>
  </si>
  <si>
    <t xml:space="preserve">ACM Panel (Composite)</t>
  </si>
  <si>
    <t xml:space="preserve">ACM, Alucobond, composite panel</t>
  </si>
  <si>
    <t xml:space="preserve">Aluminum composite panel cladding.</t>
  </si>
  <si>
    <t xml:space="preserve">ST-101</t>
  </si>
  <si>
    <t xml:space="preserve">Solid Aluminum Plate Panel</t>
  </si>
  <si>
    <t xml:space="preserve">solid plate, alum plate</t>
  </si>
  <si>
    <t xml:space="preserve">Solid aluminum panel.</t>
  </si>
  <si>
    <t xml:space="preserve">ST-102</t>
  </si>
  <si>
    <t xml:space="preserve">Phenolic Panel</t>
  </si>
  <si>
    <t xml:space="preserve">phenolic, Trespa</t>
  </si>
  <si>
    <t xml:space="preserve">Phenolic composite panel.</t>
  </si>
  <si>
    <t xml:space="preserve">ST-103</t>
  </si>
  <si>
    <t xml:space="preserve">Porcelain Panel</t>
  </si>
  <si>
    <t xml:space="preserve">porcelain panel, stoneware panel</t>
  </si>
  <si>
    <t xml:space="preserve">Porcelain cladding panel.</t>
  </si>
  <si>
    <t xml:space="preserve">ST-104</t>
  </si>
  <si>
    <t xml:space="preserve">Metal Screen Wall</t>
  </si>
  <si>
    <t xml:space="preserve">screen wall, perforated screen</t>
  </si>
  <si>
    <t xml:space="preserve">Perforated/expanded metal screen.</t>
  </si>
  <si>
    <t xml:space="preserve">ST-105</t>
  </si>
  <si>
    <t xml:space="preserve">Trellis</t>
  </si>
  <si>
    <t xml:space="preserve">trellis, pergola metal</t>
  </si>
  <si>
    <t xml:space="preserve">Architectural trellis.</t>
  </si>
  <si>
    <t xml:space="preserve">ST-106</t>
  </si>
  <si>
    <t xml:space="preserve">Sunshade / Light Shelf</t>
  </si>
  <si>
    <t xml:space="preserve">sunshade, fin, light shelf</t>
  </si>
  <si>
    <t xml:space="preserve">Solar control element.</t>
  </si>
  <si>
    <t xml:space="preserve">ST-107</t>
  </si>
  <si>
    <t xml:space="preserve">Louvers</t>
  </si>
  <si>
    <t xml:space="preserve">louver, louvre, mech screen</t>
  </si>
  <si>
    <t xml:space="preserve">Fixed or operable louver.</t>
  </si>
  <si>
    <t xml:space="preserve">ST-108</t>
  </si>
  <si>
    <t xml:space="preserve">Column Cover</t>
  </si>
  <si>
    <t xml:space="preserve">column wrap, col cover</t>
  </si>
  <si>
    <t xml:space="preserve">Architectural column cladding.</t>
  </si>
  <si>
    <t xml:space="preserve">ST-109</t>
  </si>
  <si>
    <t xml:space="preserve">Fascia / Soffit Metal</t>
  </si>
  <si>
    <t xml:space="preserve">fascia, soffit trim</t>
  </si>
  <si>
    <t xml:space="preserve">Glazing-related fascia/soffit.</t>
  </si>
  <si>
    <t xml:space="preserve">ST-110</t>
  </si>
  <si>
    <t xml:space="preserve">Resin / Decorative Panels</t>
  </si>
  <si>
    <t xml:space="preserve">resin, 3Form, Varia, decorative panel</t>
  </si>
  <si>
    <t xml:space="preserve">Architectural resin/decorative panels (3Form Varia). Used in partitions, cladding, transaction windows, signage.</t>
  </si>
  <si>
    <t xml:space="preserve">ST-120</t>
  </si>
  <si>
    <t xml:space="preserve">Board-Up / Emergency</t>
  </si>
  <si>
    <t xml:space="preserve">board up, emergency, boardup</t>
  </si>
  <si>
    <t xml:space="preserve">Emergency board-up.</t>
  </si>
  <si>
    <t xml:space="preserve">ST-121</t>
  </si>
  <si>
    <t xml:space="preserve">Site Assessment / Consultation</t>
  </si>
  <si>
    <t xml:space="preserve">assessment, consultation, site visit</t>
  </si>
  <si>
    <t xml:space="preserve">Site visit for assessment.</t>
  </si>
  <si>
    <t xml:space="preserve">ST-122</t>
  </si>
  <si>
    <t xml:space="preserve">Sealant / Caulk Replacement</t>
  </si>
  <si>
    <t xml:space="preserve">caulk, weatherseal, re-caulk</t>
  </si>
  <si>
    <t xml:space="preserve">Replace failed sealant.</t>
  </si>
  <si>
    <t xml:space="preserve">ST-123</t>
  </si>
  <si>
    <t xml:space="preserve">Re-Glaze (Failed Seal / Fog)</t>
  </si>
  <si>
    <t xml:space="preserve">reglaze, fogged glass, failed seal</t>
  </si>
  <si>
    <t xml:space="preserve">Re-glaze operation.</t>
  </si>
  <si>
    <t xml:space="preserve">ST-124</t>
  </si>
  <si>
    <t xml:space="preserve">Screen Repair / Replacement</t>
  </si>
  <si>
    <t xml:space="preserve">screen, insect screen</t>
  </si>
  <si>
    <t xml:space="preserve">Window/door insect screen.</t>
  </si>
  <si>
    <t xml:space="preserve">ST-125</t>
  </si>
  <si>
    <t xml:space="preserve">Window / Door Adjustment</t>
  </si>
  <si>
    <t xml:space="preserve">adjustment, tune up, alignment</t>
  </si>
  <si>
    <t xml:space="preserve">Hardware adjustment/alignment.</t>
  </si>
  <si>
    <t xml:space="preserve">ST-126</t>
  </si>
  <si>
    <t xml:space="preserve">Warranty Callback</t>
  </si>
  <si>
    <t xml:space="preserve">warranty, callback, punch return</t>
  </si>
  <si>
    <t xml:space="preserve">Warranty callback.</t>
  </si>
  <si>
    <t xml:space="preserve">ST-140</t>
  </si>
  <si>
    <t xml:space="preserve">Switchable / Electrochromic Glass</t>
  </si>
  <si>
    <t xml:space="preserve">smart glass, PDLC, electrochromic, SageGlass</t>
  </si>
  <si>
    <t xml:space="preserve">Switchable glass.</t>
  </si>
  <si>
    <t xml:space="preserve">ST-141</t>
  </si>
  <si>
    <t xml:space="preserve">Photovoltaic Glazing</t>
  </si>
  <si>
    <t xml:space="preserve">BIPV, PV glass</t>
  </si>
  <si>
    <t xml:space="preserve">BIPV glazing.</t>
  </si>
  <si>
    <t xml:space="preserve">ST-142</t>
  </si>
  <si>
    <t xml:space="preserve">Blast-Resistant Glazing</t>
  </si>
  <si>
    <t xml:space="preserve">blast glass, GSA blast</t>
  </si>
  <si>
    <t xml:space="preserve">Blast mitigation glazing.</t>
  </si>
  <si>
    <t xml:space="preserve">ST-143</t>
  </si>
  <si>
    <t xml:space="preserve">X-Ray / RF Shielding Glass</t>
  </si>
  <si>
    <t xml:space="preserve">lead glass, X-ray</t>
  </si>
  <si>
    <t xml:space="preserve">Lead/RF shielded glazing.</t>
  </si>
  <si>
    <t xml:space="preserve">ST-144</t>
  </si>
  <si>
    <t xml:space="preserve">Curved Glass</t>
  </si>
  <si>
    <t xml:space="preserve">bent glass, curved</t>
  </si>
  <si>
    <t xml:space="preserve">Bent/curved glass.</t>
  </si>
  <si>
    <t xml:space="preserve">ST-145</t>
  </si>
  <si>
    <t xml:space="preserve">Bird-Friendly Frit / Marker Glass</t>
  </si>
  <si>
    <t xml:space="preserve">bird glass, frit pattern, bird safe</t>
  </si>
  <si>
    <t xml:space="preserve">Bird-strike mitigation glass.</t>
  </si>
  <si>
    <t xml:space="preserve">Mfg ID</t>
  </si>
  <si>
    <t xml:space="preserve">Manufacturer</t>
  </si>
  <si>
    <t xml:space="preserve">Primary Trade Role</t>
  </si>
  <si>
    <t xml:space="preserve">MFG-001</t>
  </si>
  <si>
    <t xml:space="preserve">YKK AP</t>
  </si>
  <si>
    <t xml:space="preserve">Storefront / CW / Window</t>
  </si>
  <si>
    <t xml:space="preserve">Primary curtainwall and storefront supplier.</t>
  </si>
  <si>
    <t xml:space="preserve">MFG-002</t>
  </si>
  <si>
    <t xml:space="preserve">Kawneer</t>
  </si>
  <si>
    <t xml:space="preserve">Major aluminum framing supplier.</t>
  </si>
  <si>
    <t xml:space="preserve">MFG-003</t>
  </si>
  <si>
    <t xml:space="preserve">EFCO (Apogee)</t>
  </si>
  <si>
    <t xml:space="preserve">Aluminum fenestration. Part of Apogee group.</t>
  </si>
  <si>
    <t xml:space="preserve">MFG-004</t>
  </si>
  <si>
    <t xml:space="preserve">Oldcastle BuildingEnvelope (OBE)</t>
  </si>
  <si>
    <t xml:space="preserve">Reliance, Ace-Pro lines. Now branded OBE.</t>
  </si>
  <si>
    <t xml:space="preserve">MFG-005</t>
  </si>
  <si>
    <t xml:space="preserve">Tubelite (Apogee)</t>
  </si>
  <si>
    <t xml:space="preserve">Storefront / Window</t>
  </si>
  <si>
    <t xml:space="preserve">Aluminum framing. Part of Apogee group.</t>
  </si>
  <si>
    <t xml:space="preserve">MFG-006</t>
  </si>
  <si>
    <t xml:space="preserve">Arcadia</t>
  </si>
  <si>
    <t xml:space="preserve">Aluminum framing.</t>
  </si>
  <si>
    <t xml:space="preserve">MFG-007</t>
  </si>
  <si>
    <t xml:space="preserve">Vistawall (Apogee)</t>
  </si>
  <si>
    <t xml:space="preserve">CW / Storefront</t>
  </si>
  <si>
    <t xml:space="preserve">Part of Apogee group.</t>
  </si>
  <si>
    <t xml:space="preserve">MFG-008</t>
  </si>
  <si>
    <t xml:space="preserve">United States Aluminum (US Alum)</t>
  </si>
  <si>
    <t xml:space="preserve">CRL-owned commercial framing.</t>
  </si>
  <si>
    <t xml:space="preserve">MFG-009</t>
  </si>
  <si>
    <t xml:space="preserve">Wausau Window &amp; Wall (Apogee)</t>
  </si>
  <si>
    <t xml:space="preserve">Window / CW</t>
  </si>
  <si>
    <t xml:space="preserve">High-performance. Part of Apogee group.</t>
  </si>
  <si>
    <t xml:space="preserve">MFG-020</t>
  </si>
  <si>
    <t xml:space="preserve">Vitro (formerly PPG)</t>
  </si>
  <si>
    <t xml:space="preserve">Glass</t>
  </si>
  <si>
    <t xml:space="preserve">Solarban coated glass.</t>
  </si>
  <si>
    <t xml:space="preserve">MFG-021</t>
  </si>
  <si>
    <t xml:space="preserve">Guardian Glass</t>
  </si>
  <si>
    <t xml:space="preserve">SunGuard coated glass.</t>
  </si>
  <si>
    <t xml:space="preserve">MFG-022</t>
  </si>
  <si>
    <t xml:space="preserve">Viracon (Apogee)</t>
  </si>
  <si>
    <t xml:space="preserve">Glass Fabricator</t>
  </si>
  <si>
    <t xml:space="preserve">Fabricated IGU and coated glass.</t>
  </si>
  <si>
    <t xml:space="preserve">MFG-023</t>
  </si>
  <si>
    <t xml:space="preserve">AGC Glass</t>
  </si>
  <si>
    <t xml:space="preserve">Stopray coated glass.</t>
  </si>
  <si>
    <t xml:space="preserve">MFG-024</t>
  </si>
  <si>
    <t xml:space="preserve">Saint-Gobain / SageGlass</t>
  </si>
  <si>
    <t xml:space="preserve">Glass / Electrochromic</t>
  </si>
  <si>
    <t xml:space="preserve">MFG-025</t>
  </si>
  <si>
    <t xml:space="preserve">Cardinal Glass</t>
  </si>
  <si>
    <t xml:space="preserve">IG fabricator.</t>
  </si>
  <si>
    <t xml:space="preserve">MFG-040</t>
  </si>
  <si>
    <t xml:space="preserve">ASSA ABLOY Entrance Systems</t>
  </si>
  <si>
    <t xml:space="preserve">Auto Doors</t>
  </si>
  <si>
    <t xml:space="preserve">Primary auto-door dealer relationship. AAADM certified.</t>
  </si>
  <si>
    <t xml:space="preserve">MFG-041</t>
  </si>
  <si>
    <t xml:space="preserve">Stanley Access Technologies</t>
  </si>
  <si>
    <t xml:space="preserve">Auto door competitor.</t>
  </si>
  <si>
    <t xml:space="preserve">MFG-042</t>
  </si>
  <si>
    <t xml:space="preserve">Horton Automatics</t>
  </si>
  <si>
    <t xml:space="preserve">Now ASSA ABLOY-owned.</t>
  </si>
  <si>
    <t xml:space="preserve">MFG-043</t>
  </si>
  <si>
    <t xml:space="preserve">Nabco Entrances</t>
  </si>
  <si>
    <t xml:space="preserve">Gyrotech/Nabco auto doors.</t>
  </si>
  <si>
    <t xml:space="preserve">MFG-044</t>
  </si>
  <si>
    <t xml:space="preserve">LCN (Allegion)</t>
  </si>
  <si>
    <t xml:space="preserve">Door Hardware — Closers</t>
  </si>
  <si>
    <t xml:space="preserve">Door closer line.</t>
  </si>
  <si>
    <t xml:space="preserve">MFG-045</t>
  </si>
  <si>
    <t xml:space="preserve">Von Duprin (Allegion)</t>
  </si>
  <si>
    <t xml:space="preserve">Door Hardware — Panic</t>
  </si>
  <si>
    <t xml:space="preserve">Panic/exit device line.</t>
  </si>
  <si>
    <t xml:space="preserve">MFG-046</t>
  </si>
  <si>
    <t xml:space="preserve">Schlage (Allegion)</t>
  </si>
  <si>
    <t xml:space="preserve">Door Hardware — Locks</t>
  </si>
  <si>
    <t xml:space="preserve">Lock hardware line.</t>
  </si>
  <si>
    <t xml:space="preserve">MFG-047</t>
  </si>
  <si>
    <t xml:space="preserve">Norton (ASSA ABLOY)</t>
  </si>
  <si>
    <t xml:space="preserve">MFG-048</t>
  </si>
  <si>
    <t xml:space="preserve">Adams Rite</t>
  </si>
  <si>
    <t xml:space="preserve">Door Hardware</t>
  </si>
  <si>
    <t xml:space="preserve">Narrow stile aluminum door hardware.</t>
  </si>
  <si>
    <t xml:space="preserve">MFG-049</t>
  </si>
  <si>
    <t xml:space="preserve">Jackson / Sentinel</t>
  </si>
  <si>
    <t xml:space="preserve">Aluminum entrance hardware.</t>
  </si>
  <si>
    <t xml:space="preserve">MFG-050</t>
  </si>
  <si>
    <t xml:space="preserve">Dormakaba</t>
  </si>
  <si>
    <t xml:space="preserve">Auto Doors / Hardware</t>
  </si>
  <si>
    <t xml:space="preserve">Auto doors and hardware.</t>
  </si>
  <si>
    <t xml:space="preserve">MFG-070</t>
  </si>
  <si>
    <t xml:space="preserve">C.R. Laurence (CRL)</t>
  </si>
  <si>
    <t xml:space="preserve">Shower / Railing / Hardware</t>
  </si>
  <si>
    <t xml:space="preserve">Shower, railing, glass hardware.</t>
  </si>
  <si>
    <t xml:space="preserve">MFG-071</t>
  </si>
  <si>
    <t xml:space="preserve">FHC (Frameless Hardware Co.)</t>
  </si>
  <si>
    <t xml:space="preserve">Shower / Railing</t>
  </si>
  <si>
    <t xml:space="preserve">On roadmap for live inventory integration.</t>
  </si>
  <si>
    <t xml:space="preserve">MFG-072</t>
  </si>
  <si>
    <t xml:space="preserve">US Horizon</t>
  </si>
  <si>
    <t xml:space="preserve">Shower</t>
  </si>
  <si>
    <t xml:space="preserve">Shower hardware line.</t>
  </si>
  <si>
    <t xml:space="preserve">MFG-073</t>
  </si>
  <si>
    <t xml:space="preserve">Bohle</t>
  </si>
  <si>
    <t xml:space="preserve">Shower / Hardware</t>
  </si>
  <si>
    <t xml:space="preserve">European shower hardware.</t>
  </si>
  <si>
    <t xml:space="preserve">MFG-074</t>
  </si>
  <si>
    <t xml:space="preserve">Q-Railing</t>
  </si>
  <si>
    <t xml:space="preserve">Railing</t>
  </si>
  <si>
    <t xml:space="preserve">Railing hardware systems.</t>
  </si>
  <si>
    <t xml:space="preserve">MFG-090</t>
  </si>
  <si>
    <t xml:space="preserve">Velux</t>
  </si>
  <si>
    <t xml:space="preserve">Skylight</t>
  </si>
  <si>
    <t xml:space="preserve">Residential/light commercial skylights.</t>
  </si>
  <si>
    <t xml:space="preserve">MFG-091</t>
  </si>
  <si>
    <t xml:space="preserve">Wasco / VELUX Commercial</t>
  </si>
  <si>
    <t xml:space="preserve">Commercial skylights.</t>
  </si>
  <si>
    <t xml:space="preserve">MFG-092</t>
  </si>
  <si>
    <t xml:space="preserve">Super Sky</t>
  </si>
  <si>
    <t xml:space="preserve">Skylight / Sloped Glazing</t>
  </si>
  <si>
    <t xml:space="preserve">Custom skylight / sloped glazing.</t>
  </si>
  <si>
    <t xml:space="preserve">MFG-110</t>
  </si>
  <si>
    <t xml:space="preserve">NanaWall</t>
  </si>
  <si>
    <t xml:space="preserve">Folding Partition</t>
  </si>
  <si>
    <t xml:space="preserve">Folding glass walls.</t>
  </si>
  <si>
    <t xml:space="preserve">MFG-111</t>
  </si>
  <si>
    <t xml:space="preserve">LaCantina</t>
  </si>
  <si>
    <t xml:space="preserve">Folding/sliding glass walls.</t>
  </si>
  <si>
    <t xml:space="preserve">MFG-112</t>
  </si>
  <si>
    <t xml:space="preserve">Solar Innovations</t>
  </si>
  <si>
    <t xml:space="preserve">Folding Partition / Skylight</t>
  </si>
  <si>
    <t xml:space="preserve">Operable glazing and skylights.</t>
  </si>
  <si>
    <t xml:space="preserve">MFG-130</t>
  </si>
  <si>
    <t xml:space="preserve">Alucobond (3A Composites)</t>
  </si>
  <si>
    <t xml:space="preserve">ACM Panel</t>
  </si>
  <si>
    <t xml:space="preserve">Primary ACM brand.</t>
  </si>
  <si>
    <t xml:space="preserve">MFG-131</t>
  </si>
  <si>
    <t xml:space="preserve">Reynobond (Arconic)</t>
  </si>
  <si>
    <t xml:space="preserve">ACM brand.</t>
  </si>
  <si>
    <t xml:space="preserve">MFG-132</t>
  </si>
  <si>
    <t xml:space="preserve">Alpolic</t>
  </si>
  <si>
    <t xml:space="preserve">MFG-133</t>
  </si>
  <si>
    <t xml:space="preserve">Trespa</t>
  </si>
  <si>
    <t xml:space="preserve">Phenolic panels.</t>
  </si>
  <si>
    <t xml:space="preserve">MFG-134</t>
  </si>
  <si>
    <t xml:space="preserve">Swisspearl</t>
  </si>
  <si>
    <t xml:space="preserve">Fiber cement panels.</t>
  </si>
  <si>
    <t xml:space="preserve">MFG-150</t>
  </si>
  <si>
    <t xml:space="preserve">Dow Corning / DOWSIL</t>
  </si>
  <si>
    <t xml:space="preserve">Sealants — Structural Silicone</t>
  </si>
  <si>
    <t xml:space="preserve">Structural silicone supplier.</t>
  </si>
  <si>
    <t xml:space="preserve">MFG-151</t>
  </si>
  <si>
    <t xml:space="preserve">Tremco</t>
  </si>
  <si>
    <t xml:space="preserve">Sealants</t>
  </si>
  <si>
    <t xml:space="preserve">Perimeter sealant supplier.</t>
  </si>
  <si>
    <t xml:space="preserve">MFG-152</t>
  </si>
  <si>
    <t xml:space="preserve">Pecora</t>
  </si>
  <si>
    <t xml:space="preserve">MFG-153</t>
  </si>
  <si>
    <t xml:space="preserve">Sika</t>
  </si>
  <si>
    <t xml:space="preserve">Sealant supplier.</t>
  </si>
  <si>
    <t xml:space="preserve">MFG-154</t>
  </si>
  <si>
    <t xml:space="preserve">GE Silicones (Momentive)</t>
  </si>
  <si>
    <t xml:space="preserve">MFG-200</t>
  </si>
  <si>
    <t xml:space="preserve">Tecnoglass</t>
  </si>
  <si>
    <t xml:space="preserve">NYSE:TGLS. #1 architectural glass transformer in Latin America, #2 US fabricator. Parent of ES Windows + ES Metals. Barranquilla, Colombia. Impact/hurricane glazing.</t>
  </si>
  <si>
    <t xml:space="preserve">MFG-201</t>
  </si>
  <si>
    <t xml:space="preserve">ES Windows (Tecnoglass)</t>
  </si>
  <si>
    <t xml:space="preserve">Window / CW / Storefront</t>
  </si>
  <si>
    <t xml:space="preserve">Tecnoglass window/door division. Aluminum windows, CW, window walls, storefronts, doors, railings. Impact-rated systems. Miami.</t>
  </si>
  <si>
    <t xml:space="preserve">MFG-202</t>
  </si>
  <si>
    <t xml:space="preserve">ES Metals (Tecnoglass)</t>
  </si>
  <si>
    <t xml:space="preserve">Panels / Facades / Railings</t>
  </si>
  <si>
    <t xml:space="preserve">Tecnoglass metal facade division. Aluminum plate, ACM, phenolic panels, expanded metal, wire mesh, louvers, trellises, canopies, sunshades. Miami.</t>
  </si>
  <si>
    <t xml:space="preserve">MFG-210</t>
  </si>
  <si>
    <t xml:space="preserve">Fleetwood Windows &amp; Doors</t>
  </si>
  <si>
    <t xml:space="preserve">Window / Door (Luxury Alum)</t>
  </si>
  <si>
    <t xml:space="preserve">CA-based since 1961. Luxury aluminum windows, multi-slide doors, pivot doors, pocket systems. Common on Hawaii resort residential.</t>
  </si>
  <si>
    <t xml:space="preserve">MFG-211</t>
  </si>
  <si>
    <t xml:space="preserve">Western Window Systems</t>
  </si>
  <si>
    <t xml:space="preserve">AZ-based since 1959. Large sliding and folding glass doors. Indoor-outdoor living systems.</t>
  </si>
  <si>
    <t xml:space="preserve">MFG-212</t>
  </si>
  <si>
    <t xml:space="preserve">Panda Windows &amp; Doors</t>
  </si>
  <si>
    <t xml:space="preserve">Window / Door (Luxury)</t>
  </si>
  <si>
    <t xml:space="preserve">Las Vegas-based since 1991. Custom folding, lift &amp; slide, multi-slide, horizontal sliding walls, pivot doors. Aluminum/steel/bronze/wood. Panels up to 24' tall.</t>
  </si>
  <si>
    <t xml:space="preserve">MFG-213</t>
  </si>
  <si>
    <t xml:space="preserve">Euro-Wall Systems</t>
  </si>
  <si>
    <t xml:space="preserve">Folding / Sliding Door</t>
  </si>
  <si>
    <t xml:space="preserve">FL-based. Folding, lift &amp; slide, multi-slide, pivot door systems. Florida Product Approved / HVHZ-rated. Thermal-broken aluminum.</t>
  </si>
  <si>
    <t xml:space="preserve">MFG-214</t>
  </si>
  <si>
    <t xml:space="preserve">Andersen Windows</t>
  </si>
  <si>
    <t xml:space="preserve">Window / Door (Residential)</t>
  </si>
  <si>
    <t xml:space="preserve">Major residential/light commercial window brand. A-Series, E-Series, 100/200/400 Series.</t>
  </si>
  <si>
    <t xml:space="preserve">MFG-215</t>
  </si>
  <si>
    <t xml:space="preserve">Blomberg Window Systems</t>
  </si>
  <si>
    <t xml:space="preserve">Window / Door (Custom Alum)</t>
  </si>
  <si>
    <t xml:space="preserve">Sacramento CA since 1957. Custom aluminum windows and doors. Narrow-profile. Northern CA direct-sell.</t>
  </si>
  <si>
    <t xml:space="preserve">MFG-220</t>
  </si>
  <si>
    <t xml:space="preserve">Garibaldi Glass Industries</t>
  </si>
  <si>
    <t xml:space="preserve">Burnaby BC since 1973. Silk-screened ceramic frit, bonded window systems (OceanBond), tempered/laminated/IG. West coast fabricator.</t>
  </si>
  <si>
    <t xml:space="preserve">MFG-221</t>
  </si>
  <si>
    <t xml:space="preserve">Glasswerks</t>
  </si>
  <si>
    <t xml:space="preserve">45+ yr West Coast glass fabricator. June 2025 merger with Northwestern Industries AZ and Avalon Glass &amp; Mirror. Tempered, laminated, IG, decorative.</t>
  </si>
  <si>
    <t xml:space="preserve">MFG-222</t>
  </si>
  <si>
    <t xml:space="preserve">HMI Glass (formerly HMI Cardinal)</t>
  </si>
  <si>
    <t xml:space="preserve">Louisville KY. Rebranded to HMI Glass in 2021 after HMI Cardinal + Woon-Tech merger.</t>
  </si>
  <si>
    <t xml:space="preserve">MFG-223</t>
  </si>
  <si>
    <t xml:space="preserve">Trulite Glass &amp; Aluminum</t>
  </si>
  <si>
    <t xml:space="preserve">Glass Fabricator / Alum Systems</t>
  </si>
  <si>
    <t xml:space="preserve">National fabricator — architectural glass + aluminum systems + SafetyLine forced-entry-resistant glazing.</t>
  </si>
  <si>
    <t xml:space="preserve">MFG-230</t>
  </si>
  <si>
    <t xml:space="preserve">3Form (Armstrong)</t>
  </si>
  <si>
    <t xml:space="preserve">Leading architectural resin/decorative glass manufacturer. Varia resin panels, 3form Glass, acoustic panels. Part of Armstrong Ceiling Solutions.</t>
  </si>
  <si>
    <t xml:space="preserve">MFG-231</t>
  </si>
  <si>
    <t xml:space="preserve">Protean Construction Products / CNC Metalcraft</t>
  </si>
  <si>
    <t xml:space="preserve">Panels / Column Covers</t>
  </si>
  <si>
    <t xml:space="preserve">Architectural metal wall panels — honeycomb, insulated, aluminum plate, ACM, column covers &amp; beam wraps. Acquired by CNC Metalcraft (Sure-Panel) in 2024.</t>
  </si>
  <si>
    <t xml:space="preserve">MFG-233</t>
  </si>
  <si>
    <t xml:space="preserve">Mincey Marble</t>
  </si>
  <si>
    <t xml:space="preserve">Shower / Cast Marble</t>
  </si>
  <si>
    <t xml:space="preserve">Gainesville GA. Cast marble shower pans and wall panel systems for commercial hospitality/multifamily. Tile-alternative, grout-free.</t>
  </si>
  <si>
    <t xml:space="preserve">MFG-234</t>
  </si>
  <si>
    <t xml:space="preserve">Belstone Products</t>
  </si>
  <si>
    <t xml:space="preserve">Shower Enclosures</t>
  </si>
  <si>
    <t xml:space="preserve">v0.3 UPDATED: Confirmed by Sean — shower enclosure supplier (belstoneproducts.com/shower-enclosures.php). Prior entry flagged for verification in v0.2; now resolved.</t>
  </si>
  <si>
    <t xml:space="preserve">MFG-235</t>
  </si>
  <si>
    <t xml:space="preserve">Clover</t>
  </si>
  <si>
    <t xml:space="preserve">Panels / Metalwork</t>
  </si>
  <si>
    <t xml:space="preserve">v0.3 NEW: Panel and metalwork supplier, added per Sean's v0.2 feedback. Used by Kula for architectural panel and metalwork scope.</t>
  </si>
  <si>
    <t xml:space="preserve">Work Type ID</t>
  </si>
  <si>
    <t xml:space="preserve">Work Type</t>
  </si>
  <si>
    <t xml:space="preserve">Status</t>
  </si>
  <si>
    <t xml:space="preserve">WRK-01</t>
  </si>
  <si>
    <t xml:space="preserve">Install</t>
  </si>
  <si>
    <t xml:space="preserve">LOCKED</t>
  </si>
  <si>
    <t xml:space="preserve">New installation of a system or assembly.</t>
  </si>
  <si>
    <t xml:space="preserve">WRK-02</t>
  </si>
  <si>
    <t xml:space="preserve">Replace</t>
  </si>
  <si>
    <t xml:space="preserve">Remove existing and install new in its place.</t>
  </si>
  <si>
    <t xml:space="preserve">WRK-03</t>
  </si>
  <si>
    <t xml:space="preserve">Repair</t>
  </si>
  <si>
    <t xml:space="preserve">Fix damaged/malfunctioning component without full replacement.</t>
  </si>
  <si>
    <t xml:space="preserve">WRK-04</t>
  </si>
  <si>
    <t xml:space="preserve">Adjust</t>
  </si>
  <si>
    <t xml:space="preserve">Tune-up or re-align without replacing parts.</t>
  </si>
  <si>
    <t xml:space="preserve">WRK-05</t>
  </si>
  <si>
    <t xml:space="preserve">Inspect</t>
  </si>
  <si>
    <t xml:space="preserve">Diagnostic inspection (includes AAADM annual safety inspection).</t>
  </si>
  <si>
    <t xml:space="preserve">WRK-06</t>
  </si>
  <si>
    <t xml:space="preserve">Certify</t>
  </si>
  <si>
    <t xml:space="preserve">Formal certification with paperwork (AAADM cert, warranty cert, test report).</t>
  </si>
  <si>
    <t xml:space="preserve">WRK-07</t>
  </si>
  <si>
    <t xml:space="preserve">Board-Up</t>
  </si>
  <si>
    <t xml:space="preserve">Emergency temporary closure of broken opening.</t>
  </si>
  <si>
    <t xml:space="preserve">WRK-08</t>
  </si>
  <si>
    <t xml:space="preserve">Assess / Quote</t>
  </si>
  <si>
    <t xml:space="preserve">Site visit for assessment and quoting; no work performed.</t>
  </si>
  <si>
    <t xml:space="preserve">WRK-09</t>
  </si>
  <si>
    <t xml:space="preserve">Punch / Warranty</t>
  </si>
  <si>
    <t xml:space="preserve">Punch list item or warranty callback return.</t>
  </si>
  <si>
    <t xml:space="preserve">WRK-10</t>
  </si>
  <si>
    <t xml:space="preserve">Demo / Remove</t>
  </si>
  <si>
    <t xml:space="preserve">Demolition or removal of existing work without replacement.</t>
  </si>
  <si>
    <t xml:space="preserve">Active Catalog for Kula Glass — Mock View (v0.3)</t>
  </si>
  <si>
    <t xml:space="preserve">Per GC-D041, catalog_admin role (Estimators, Supers, Managers, Executive) can toggle items on/off.</t>
  </si>
  <si>
    <t xml:space="preserve">System Type</t>
  </si>
  <si>
    <t xml:space="preserve">Toggle State</t>
  </si>
  <si>
    <t xml:space="preserve">Shows in Dropdowns?</t>
  </si>
  <si>
    <t xml:space="preserve">Who toggles?</t>
  </si>
  <si>
    <t xml:space="preserve">● ON</t>
  </si>
  <si>
    <t xml:space="preserve">catalog_admin</t>
  </si>
  <si>
    <t xml:space="preserve">Summary</t>
  </si>
  <si>
    <t xml:space="preserve">ASSA ABLOY Auto-Door Scope — Notes for Validation</t>
  </si>
  <si>
    <t xml:space="preserve">Context</t>
  </si>
  <si>
    <t xml:space="preserve">Kula Glass is an ASSA ABLOY Entrance Systems dealer and AAADM-certified for annual auto-door safety inspections. Sean flagged that ASSA ABLOY's catalog is poorly documented and nobody at Kula has formal training. This tab is seeded from public ASSA ABLOY product info. v0.3 unchanged from v0.2. Interim mitigation path: ChatGPT bridge (see GC-D041/D042 §9) + web-scraping Kai data.</t>
  </si>
  <si>
    <t xml:space="preserve">Operator Families</t>
  </si>
  <si>
    <t xml:space="preserve">ASSA ABLOY publishes these main operator product lines:</t>
  </si>
  <si>
    <t xml:space="preserve">  SW100</t>
  </si>
  <si>
    <t xml:space="preserve">Low-energy swing operator (ADA power assist). Surface-mounted.</t>
  </si>
  <si>
    <t xml:space="preserve">  SW200</t>
  </si>
  <si>
    <t xml:space="preserve">Full-energy swing operator. Surface-mounted. Workhorse.</t>
  </si>
  <si>
    <t xml:space="preserve">  SW200i</t>
  </si>
  <si>
    <t xml:space="preserve">In-ground swing operator. Hidden in floor.</t>
  </si>
  <si>
    <t xml:space="preserve">  SW300</t>
  </si>
  <si>
    <t xml:space="preserve">High-traffic / heavy-duty swing operator.</t>
  </si>
  <si>
    <t xml:space="preserve">  SL500 / SL500T</t>
  </si>
  <si>
    <t xml:space="preserve">Sliding operator (standard / telescopic). Bi-parting or single-slide.</t>
  </si>
  <si>
    <t xml:space="preserve">Services</t>
  </si>
  <si>
    <t xml:space="preserve">  Install</t>
  </si>
  <si>
    <t xml:space="preserve">New install of operator + door package.</t>
  </si>
  <si>
    <t xml:space="preserve">  Replace</t>
  </si>
  <si>
    <t xml:space="preserve">Swap failed operator.</t>
  </si>
  <si>
    <t xml:space="preserve">  Repair</t>
  </si>
  <si>
    <t xml:space="preserve">Diagnose and fix operator/sensor fault.</t>
  </si>
  <si>
    <t xml:space="preserve">  Adjust</t>
  </si>
  <si>
    <t xml:space="preserve">Tune sweep speed, latch check, backcheck, hold-open timing.</t>
  </si>
  <si>
    <t xml:space="preserve">  AAADM Annual Inspection</t>
  </si>
  <si>
    <t xml:space="preserve">Required by ANSI 156.10/156.19/156.38. Kula is AAADM-certified. Recurring revenue. Now captured as ST-034 + WRK-05.</t>
  </si>
  <si>
    <t xml:space="preserve">How this maps to the registry</t>
  </si>
  <si>
    <t xml:space="preserve">Operator families do NOT become System Types. They become free-form Product Tags on templates and WOs. System Types stay at category level. Work Types provide Install/Repair/Inspect axis.</t>
  </si>
  <si>
    <t xml:space="preserve">Data source</t>
  </si>
  <si>
    <t xml:space="preserve">Public ASSA ABLOY Entrance Systems product pages + AAADM certification program documentation. Last pulled: April 22, 2026.</t>
  </si>
  <si>
    <t xml:space="preserve">Type</t>
  </si>
  <si>
    <t xml:space="preserve">Item</t>
  </si>
  <si>
    <t xml:space="preserve">Notes &amp; Context</t>
  </si>
  <si>
    <t xml:space="preserve">Resolved</t>
  </si>
  <si>
    <t xml:space="preserve">Technoglas vs Tecnoglass</t>
  </si>
  <si>
    <t xml:space="preserve">CLOSED</t>
  </si>
  <si>
    <t xml:space="preserve">v0.3: Confirmed by Sean as typo — same company as Tecnoglass (MFG-200). Separate 'Technoglas' entry (was MFG-232 in v0.2) removed from Manufacturers tab.</t>
  </si>
  <si>
    <t xml:space="preserve">Belstone</t>
  </si>
  <si>
    <t xml:space="preserve">v0.3: Confirmed by Sean as Belstone Products, shower enclosure supplier. Entry MFG-234 updated with correct classification and URL reference.</t>
  </si>
  <si>
    <t xml:space="preserve">v0.3: Added as MFG-235 per Sean's v0.2 note — Panels / Metalwork manufacturer.</t>
  </si>
  <si>
    <t xml:space="preserve">Mechanism to add manufacturers</t>
  </si>
  <si>
    <t xml:space="preserve">Resolved via GC-D041 + GC-D042 paired governance decision. Catalog admin role (Estimators, Supers, Managers, Executive) can toggle Active Catalog. Developer seeds Master Library; admins enable/disable per-tenant.</t>
  </si>
  <si>
    <t xml:space="preserve">Mechanism to add system types</t>
  </si>
  <si>
    <t xml:space="preserve">Resolved via GC-D041 same as above. System Types follow identical toggle pattern.</t>
  </si>
  <si>
    <t xml:space="preserve">Data</t>
  </si>
  <si>
    <t xml:space="preserve">ASSA ABLOY catalog validation</t>
  </si>
  <si>
    <t xml:space="preserve">BLOCKED</t>
  </si>
  <si>
    <t xml:space="preserve">Auto-Door Addendum seeded from public product info. Nobody at Kula has formal ASSA ABLOY training including primary rep. Sean working this in separate thread. Interim mitigation: ChatGPT bridge (see GC-D041/D042 §9) + web-scraping Kai data per Sean's direction.</t>
  </si>
  <si>
    <t xml:space="preserve">Union-scope items to revisit</t>
  </si>
  <si>
    <t xml:space="preserve">INFO</t>
  </si>
  <si>
    <t xml:space="preserve">Glaziers Union Master Labor Agreement lists items worth later review: wire glass, acrylic substitutes, art glass, shop-level mirror fabrication, glass cleaning/beveling/silvering/sandblasting. Not currently in Master Library — deserve review if Kula does shop-level glass processing.</t>
  </si>
  <si>
    <t xml:space="preserve">Architecture</t>
  </si>
  <si>
    <t xml:space="preserve">Product Lines as separate tier</t>
  </si>
  <si>
    <t xml:space="preserve">DEFERRED</t>
  </si>
  <si>
    <t xml:space="preserve">Product Lines (SW200, YCW 750, Solarban 70XL, etc.) are catalog data, not taxonomy. Deferred to future Product Catalog module, which will reference Manufacturer from this registry.</t>
  </si>
  <si>
    <t xml:space="preserve">Flag</t>
  </si>
  <si>
    <t xml:space="preserve">Crew certification tracking (AAADM)</t>
  </si>
  <si>
    <t xml:space="preserve">FOLLOW-ON</t>
  </si>
  <si>
    <t xml:space="preserve">Sean identified AAADM cert holders: Jenny, Sean, Kyle, Tyson, Fran Lynch (Fran's crew status to be verified). Addressed in GC-D041/D042 §11 as cross-cutting concern. Landing as GC-D043 — Crew Certifications, after GC-D041/D042 ship.</t>
  </si>
</sst>
</file>

<file path=xl/styles.xml><?xml version="1.0" encoding="utf-8"?>
<styleSheet xmlns="http://schemas.openxmlformats.org/spreadsheetml/2006/main">
  <numFmts count="1">
    <numFmt numFmtId="164" formatCode="General"/>
  </numFmts>
  <fonts count="14">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10"/>
      <color rgb="FFFFFFFF"/>
      <name val="Arial"/>
      <family val="0"/>
      <charset val="1"/>
    </font>
    <font>
      <b val="true"/>
      <sz val="10"/>
      <name val="Arial"/>
      <family val="0"/>
      <charset val="1"/>
    </font>
    <font>
      <sz val="10"/>
      <name val="Arial"/>
      <family val="0"/>
      <charset val="1"/>
    </font>
    <font>
      <b val="true"/>
      <sz val="11"/>
      <color rgb="FFFFFFFF"/>
      <name val="Arial"/>
      <family val="0"/>
      <charset val="1"/>
    </font>
    <font>
      <b val="true"/>
      <sz val="10"/>
      <color rgb="FF0C4A6E"/>
      <name val="Arial"/>
      <family val="0"/>
      <charset val="1"/>
    </font>
    <font>
      <b val="true"/>
      <sz val="10"/>
      <color rgb="FF92400E"/>
      <name val="Arial"/>
      <family val="0"/>
      <charset val="1"/>
    </font>
    <font>
      <i val="true"/>
      <sz val="9"/>
      <color rgb="FF4B5563"/>
      <name val="Arial"/>
      <family val="0"/>
      <charset val="1"/>
    </font>
    <font>
      <b val="true"/>
      <sz val="10"/>
      <color rgb="FF065F46"/>
      <name val="Arial"/>
      <family val="0"/>
      <charset val="1"/>
    </font>
    <font>
      <b val="true"/>
      <sz val="10"/>
      <color rgb="FF0F766E"/>
      <name val="Arial"/>
      <family val="0"/>
      <charset val="1"/>
    </font>
  </fonts>
  <fills count="12">
    <fill>
      <patternFill patternType="none"/>
    </fill>
    <fill>
      <patternFill patternType="gray125"/>
    </fill>
    <fill>
      <patternFill patternType="solid">
        <fgColor rgb="FF0F766E"/>
        <bgColor rgb="FF065F46"/>
      </patternFill>
    </fill>
    <fill>
      <patternFill patternType="solid">
        <fgColor rgb="FF0C1A26"/>
        <bgColor rgb="FF1E293B"/>
      </patternFill>
    </fill>
    <fill>
      <patternFill patternType="solid">
        <fgColor rgb="FFF8FAFC"/>
        <bgColor rgb="FFFFFFFF"/>
      </patternFill>
    </fill>
    <fill>
      <patternFill patternType="solid">
        <fgColor rgb="FFD1FAE5"/>
        <bgColor rgb="FFDBEAFE"/>
      </patternFill>
    </fill>
    <fill>
      <patternFill patternType="solid">
        <fgColor rgb="FFDBEAFE"/>
        <bgColor rgb="FFE5E7EB"/>
      </patternFill>
    </fill>
    <fill>
      <patternFill patternType="solid">
        <fgColor rgb="FFFEF3C7"/>
        <bgColor rgb="FFF8FAFC"/>
      </patternFill>
    </fill>
    <fill>
      <patternFill patternType="solid">
        <fgColor rgb="FF1E293B"/>
        <bgColor rgb="FF0C1A26"/>
      </patternFill>
    </fill>
    <fill>
      <patternFill patternType="solid">
        <fgColor rgb="FFFECACA"/>
        <bgColor rgb="FFE5E7EB"/>
      </patternFill>
    </fill>
    <fill>
      <patternFill patternType="solid">
        <fgColor rgb="FFE5E7EB"/>
        <bgColor rgb="FFDBEAFE"/>
      </patternFill>
    </fill>
    <fill>
      <patternFill patternType="solid">
        <fgColor rgb="FFFDE68A"/>
        <bgColor rgb="FFFEF3C7"/>
      </patternFill>
    </fill>
  </fills>
  <borders count="2">
    <border diagonalUp="false" diagonalDown="false">
      <left/>
      <right/>
      <top/>
      <bottom/>
      <diagonal/>
    </border>
    <border diagonalUp="false" diagonalDown="false">
      <left style="thin">
        <color rgb="FFCBD5E1"/>
      </left>
      <right style="thin">
        <color rgb="FFCBD5E1"/>
      </right>
      <top style="thin">
        <color rgb="FFCBD5E1"/>
      </top>
      <bottom style="thin">
        <color rgb="FFCBD5E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left" vertical="center"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left" vertical="center"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left" vertical="top" textRotation="0" wrapText="true" indent="0" shrinkToFit="false"/>
      <protection locked="true" hidden="false"/>
    </xf>
    <xf numFmtId="164" fontId="7" fillId="0" borderId="0" xfId="0" applyFont="true" applyBorder="false" applyAlignment="true" applyProtection="false">
      <alignment horizontal="left"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left" vertical="top"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0" fillId="6" borderId="1" xfId="0" applyFont="true" applyBorder="true" applyAlignment="true" applyProtection="false">
      <alignment horizontal="center" vertical="center" textRotation="0" wrapText="true" indent="0" shrinkToFit="false"/>
      <protection locked="true" hidden="false"/>
    </xf>
    <xf numFmtId="164" fontId="9" fillId="6" borderId="1" xfId="0" applyFont="true" applyBorder="true" applyAlignment="true" applyProtection="false">
      <alignment horizontal="left" vertical="top" textRotation="0" wrapText="true" indent="0" shrinkToFit="false"/>
      <protection locked="true" hidden="false"/>
    </xf>
    <xf numFmtId="164" fontId="0" fillId="6" borderId="1" xfId="0" applyFont="true" applyBorder="true" applyAlignment="true" applyProtection="false">
      <alignment horizontal="left" vertical="top" textRotation="0" wrapText="true" indent="0" shrinkToFit="false"/>
      <protection locked="true" hidden="false"/>
    </xf>
    <xf numFmtId="164" fontId="0" fillId="5" borderId="1" xfId="0" applyFont="true" applyBorder="true" applyAlignment="true" applyProtection="false">
      <alignment horizontal="center" vertical="center" textRotation="0" wrapText="true" indent="0" shrinkToFit="false"/>
      <protection locked="true" hidden="false"/>
    </xf>
    <xf numFmtId="164" fontId="0" fillId="7" borderId="1" xfId="0" applyFont="true" applyBorder="true" applyAlignment="true" applyProtection="false">
      <alignment horizontal="center" vertical="center" textRotation="0" wrapText="true" indent="0" shrinkToFit="false"/>
      <protection locked="true" hidden="false"/>
    </xf>
    <xf numFmtId="164" fontId="10" fillId="7" borderId="1" xfId="0" applyFont="true" applyBorder="true" applyAlignment="true" applyProtection="false">
      <alignment horizontal="left" vertical="top" textRotation="0" wrapText="true" indent="0" shrinkToFit="false"/>
      <protection locked="true" hidden="false"/>
    </xf>
    <xf numFmtId="164" fontId="0" fillId="7" borderId="1" xfId="0" applyFont="true" applyBorder="true" applyAlignment="true" applyProtection="false">
      <alignment horizontal="left" vertical="top" textRotation="0" wrapText="true" indent="0" shrinkToFit="false"/>
      <protection locked="true" hidden="false"/>
    </xf>
    <xf numFmtId="164" fontId="10" fillId="7" borderId="1" xfId="0" applyFont="true" applyBorder="true" applyAlignment="true" applyProtection="false">
      <alignment horizontal="center" vertical="center" textRotation="0" wrapText="tru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11" fillId="0" borderId="0" xfId="0" applyFont="true" applyBorder="true" applyAlignment="true" applyProtection="false">
      <alignment horizontal="left" vertical="top" textRotation="0" wrapText="true" indent="0" shrinkToFit="false"/>
      <protection locked="true" hidden="false"/>
    </xf>
    <xf numFmtId="164" fontId="8" fillId="8" borderId="1" xfId="0" applyFont="true" applyBorder="true" applyAlignment="true" applyProtection="false">
      <alignment horizontal="center" vertical="center" textRotation="0" wrapText="true" indent="0" shrinkToFit="false"/>
      <protection locked="true" hidden="false"/>
    </xf>
    <xf numFmtId="164" fontId="12" fillId="5" borderId="1"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left" vertical="center" textRotation="0" wrapText="true" indent="0" shrinkToFit="false"/>
      <protection locked="true" hidden="false"/>
    </xf>
    <xf numFmtId="164" fontId="13" fillId="0" borderId="0" xfId="0" applyFont="true" applyBorder="false" applyAlignment="true" applyProtection="false">
      <alignment horizontal="left" vertical="top" textRotation="0" wrapText="true" indent="0" shrinkToFit="false"/>
      <protection locked="true" hidden="false"/>
    </xf>
    <xf numFmtId="164" fontId="6" fillId="5" borderId="1" xfId="0" applyFont="true" applyBorder="true" applyAlignment="true" applyProtection="false">
      <alignment horizontal="left" vertical="top" textRotation="0" wrapText="true" indent="0" shrinkToFit="false"/>
      <protection locked="true" hidden="false"/>
    </xf>
    <xf numFmtId="164" fontId="6" fillId="9" borderId="1" xfId="0" applyFont="true" applyBorder="true" applyAlignment="true" applyProtection="false">
      <alignment horizontal="left" vertical="top" textRotation="0" wrapText="true" indent="0" shrinkToFit="false"/>
      <protection locked="true" hidden="false"/>
    </xf>
    <xf numFmtId="164" fontId="6" fillId="6" borderId="1" xfId="0" applyFont="true" applyBorder="true" applyAlignment="true" applyProtection="false">
      <alignment horizontal="left" vertical="top" textRotation="0" wrapText="true" indent="0" shrinkToFit="false"/>
      <protection locked="true" hidden="false"/>
    </xf>
    <xf numFmtId="164" fontId="6" fillId="10" borderId="1" xfId="0" applyFont="true" applyBorder="true" applyAlignment="true" applyProtection="false">
      <alignment horizontal="left" vertical="top" textRotation="0" wrapText="true" indent="0" shrinkToFit="false"/>
      <protection locked="true" hidden="false"/>
    </xf>
    <xf numFmtId="164" fontId="6" fillId="11"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F766E"/>
      <rgbColor rgb="FFF8FAFC"/>
      <rgbColor rgb="FF808080"/>
      <rgbColor rgb="FF9999FF"/>
      <rgbColor rgb="FF993366"/>
      <rgbColor rgb="FFFEF3C7"/>
      <rgbColor rgb="FFDBEAFE"/>
      <rgbColor rgb="FF660066"/>
      <rgbColor rgb="FFFF8080"/>
      <rgbColor rgb="FF0066CC"/>
      <rgbColor rgb="FFCBD5E1"/>
      <rgbColor rgb="FF000080"/>
      <rgbColor rgb="FFFF00FF"/>
      <rgbColor rgb="FFFFFF00"/>
      <rgbColor rgb="FF00FFFF"/>
      <rgbColor rgb="FF800080"/>
      <rgbColor rgb="FF800000"/>
      <rgbColor rgb="FF065F46"/>
      <rgbColor rgb="FF0000FF"/>
      <rgbColor rgb="FF00CCFF"/>
      <rgbColor rgb="FFE5E7EB"/>
      <rgbColor rgb="FFD1FAE5"/>
      <rgbColor rgb="FFFDE68A"/>
      <rgbColor rgb="FF99CCFF"/>
      <rgbColor rgb="FFFF99CC"/>
      <rgbColor rgb="FFCC99FF"/>
      <rgbColor rgb="FFFECACA"/>
      <rgbColor rgb="FF3366FF"/>
      <rgbColor rgb="FF33CCCC"/>
      <rgbColor rgb="FF99CC00"/>
      <rgbColor rgb="FFFFCC00"/>
      <rgbColor rgb="FFFF9900"/>
      <rgbColor rgb="FFFF6600"/>
      <rgbColor rgb="FF4B5563"/>
      <rgbColor rgb="FF969696"/>
      <rgbColor rgb="FF0C4A6E"/>
      <rgbColor rgb="FF339966"/>
      <rgbColor rgb="FF0C1A26"/>
      <rgbColor rgb="FF333300"/>
      <rgbColor rgb="FF92400E"/>
      <rgbColor rgb="FF993366"/>
      <rgbColor rgb="FF333399"/>
      <rgbColor rgb="FF1E293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2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6"/>
    <col collapsed="false" customWidth="true" hidden="false" outlineLevel="0" max="3" min="3" style="0" width="82"/>
  </cols>
  <sheetData>
    <row r="1" customFormat="false" ht="37.5" hidden="false" customHeight="true" outlineLevel="0" collapsed="false">
      <c r="B1" s="1" t="s">
        <v>0</v>
      </c>
      <c r="C1" s="2"/>
    </row>
    <row r="2" customFormat="false" ht="21.75" hidden="false" customHeight="true" outlineLevel="0" collapsed="false">
      <c r="B2" s="3" t="s">
        <v>1</v>
      </c>
      <c r="C2" s="4"/>
    </row>
    <row r="3" customFormat="false" ht="19.5" hidden="false" customHeight="true" outlineLevel="0" collapsed="false">
      <c r="B3" s="5"/>
      <c r="C3" s="6"/>
    </row>
    <row r="4" customFormat="false" ht="79.5" hidden="false" customHeight="true" outlineLevel="0" collapsed="false">
      <c r="B4" s="5" t="s">
        <v>2</v>
      </c>
      <c r="C4" s="6" t="s">
        <v>3</v>
      </c>
    </row>
    <row r="5" customFormat="false" ht="19.5" hidden="false" customHeight="true" outlineLevel="0" collapsed="false">
      <c r="B5" s="5"/>
      <c r="C5" s="6"/>
    </row>
    <row r="6" customFormat="false" ht="48" hidden="false" customHeight="true" outlineLevel="0" collapsed="false">
      <c r="B6" s="5" t="s">
        <v>4</v>
      </c>
      <c r="C6" s="6" t="s">
        <v>5</v>
      </c>
    </row>
    <row r="7" customFormat="false" ht="19.5" hidden="false" customHeight="true" outlineLevel="0" collapsed="false">
      <c r="B7" s="5"/>
      <c r="C7" s="6"/>
    </row>
    <row r="8" customFormat="false" ht="19.5" hidden="false" customHeight="true" outlineLevel="0" collapsed="false">
      <c r="B8" s="5" t="s">
        <v>6</v>
      </c>
      <c r="C8" s="6"/>
    </row>
    <row r="9" customFormat="false" ht="19.5" hidden="false" customHeight="true" outlineLevel="0" collapsed="false">
      <c r="B9" s="5" t="s">
        <v>7</v>
      </c>
      <c r="C9" s="6" t="s">
        <v>8</v>
      </c>
    </row>
    <row r="10" customFormat="false" ht="19.5" hidden="false" customHeight="true" outlineLevel="0" collapsed="false">
      <c r="B10" s="5" t="s">
        <v>9</v>
      </c>
      <c r="C10" s="6" t="s">
        <v>10</v>
      </c>
    </row>
    <row r="11" customFormat="false" ht="19.5" hidden="false" customHeight="true" outlineLevel="0" collapsed="false">
      <c r="B11" s="5" t="s">
        <v>11</v>
      </c>
      <c r="C11" s="6" t="s">
        <v>12</v>
      </c>
    </row>
    <row r="12" customFormat="false" ht="19.5" hidden="false" customHeight="true" outlineLevel="0" collapsed="false">
      <c r="B12" s="5" t="s">
        <v>13</v>
      </c>
      <c r="C12" s="6" t="s">
        <v>14</v>
      </c>
    </row>
    <row r="13" customFormat="false" ht="19.5" hidden="false" customHeight="true" outlineLevel="0" collapsed="false">
      <c r="B13" s="5" t="s">
        <v>15</v>
      </c>
      <c r="C13" s="6" t="s">
        <v>16</v>
      </c>
    </row>
    <row r="14" customFormat="false" ht="19.5" hidden="false" customHeight="true" outlineLevel="0" collapsed="false">
      <c r="B14" s="5" t="s">
        <v>17</v>
      </c>
      <c r="C14" s="6" t="s">
        <v>18</v>
      </c>
    </row>
    <row r="15" customFormat="false" ht="19.5" hidden="false" customHeight="true" outlineLevel="0" collapsed="false">
      <c r="B15" s="5" t="s">
        <v>19</v>
      </c>
      <c r="C15" s="6" t="s">
        <v>20</v>
      </c>
    </row>
    <row r="16" customFormat="false" ht="19.5" hidden="false" customHeight="true" outlineLevel="0" collapsed="false">
      <c r="B16" s="5" t="s">
        <v>21</v>
      </c>
      <c r="C16" s="6" t="s">
        <v>22</v>
      </c>
    </row>
    <row r="17" customFormat="false" ht="19.5" hidden="false" customHeight="true" outlineLevel="0" collapsed="false">
      <c r="B17" s="5" t="s">
        <v>23</v>
      </c>
      <c r="C17" s="6" t="s">
        <v>24</v>
      </c>
    </row>
    <row r="18" customFormat="false" ht="19.5" hidden="false" customHeight="true" outlineLevel="0" collapsed="false">
      <c r="B18" s="5"/>
      <c r="C18" s="6"/>
    </row>
    <row r="19" customFormat="false" ht="63.75" hidden="false" customHeight="true" outlineLevel="0" collapsed="false">
      <c r="B19" s="5" t="s">
        <v>25</v>
      </c>
      <c r="C19" s="6" t="s">
        <v>26</v>
      </c>
    </row>
    <row r="20" customFormat="false" ht="19.5" hidden="false" customHeight="true" outlineLevel="0" collapsed="false">
      <c r="B20" s="5"/>
      <c r="C20" s="6"/>
    </row>
    <row r="21" customFormat="false" ht="19.5" hidden="false" customHeight="true" outlineLevel="0" collapsed="false">
      <c r="B21" s="5" t="s">
        <v>27</v>
      </c>
      <c r="C21" s="6" t="s">
        <v>28</v>
      </c>
    </row>
    <row r="22" customFormat="false" ht="19.5" hidden="false" customHeight="true" outlineLevel="0" collapsed="false">
      <c r="B22" s="5" t="s">
        <v>29</v>
      </c>
      <c r="C22" s="6" t="s">
        <v>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3" min="3" style="0" width="110"/>
  </cols>
  <sheetData>
    <row r="1" customFormat="false" ht="30" hidden="false" customHeight="true" outlineLevel="0" collapsed="false">
      <c r="A1" s="7" t="s">
        <v>31</v>
      </c>
      <c r="B1" s="7" t="s">
        <v>32</v>
      </c>
      <c r="C1" s="7" t="s">
        <v>33</v>
      </c>
    </row>
    <row r="2" customFormat="false" ht="120" hidden="false" customHeight="true" outlineLevel="0" collapsed="false">
      <c r="A2" s="8" t="s">
        <v>34</v>
      </c>
      <c r="B2" s="9" t="s">
        <v>35</v>
      </c>
      <c r="C2" s="9" t="s">
        <v>36</v>
      </c>
    </row>
    <row r="3" customFormat="false" ht="79.5" hidden="false" customHeight="true" outlineLevel="0" collapsed="false">
      <c r="A3" s="8" t="s">
        <v>37</v>
      </c>
      <c r="B3" s="9" t="s">
        <v>35</v>
      </c>
      <c r="C3" s="9" t="s">
        <v>38</v>
      </c>
    </row>
    <row r="4" customFormat="false" ht="49.5" hidden="false" customHeight="true" outlineLevel="0" collapsed="false">
      <c r="A4" s="8" t="s">
        <v>39</v>
      </c>
      <c r="B4" s="9" t="s">
        <v>40</v>
      </c>
      <c r="C4" s="9" t="s">
        <v>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2"/>
    <col collapsed="false" customWidth="true" hidden="false" outlineLevel="0" max="4" min="3" style="0" width="18"/>
    <col collapsed="false" customWidth="true" hidden="false" outlineLevel="0" max="5" min="5" style="0" width="80"/>
  </cols>
  <sheetData>
    <row r="1" customFormat="false" ht="30" hidden="false" customHeight="true" outlineLevel="0" collapsed="false">
      <c r="A1" s="7" t="s">
        <v>42</v>
      </c>
      <c r="B1" s="7" t="s">
        <v>43</v>
      </c>
      <c r="C1" s="7" t="s">
        <v>44</v>
      </c>
      <c r="D1" s="7" t="s">
        <v>45</v>
      </c>
      <c r="E1" s="7" t="s">
        <v>46</v>
      </c>
    </row>
    <row r="2" customFormat="false" ht="31.5" hidden="false" customHeight="true" outlineLevel="0" collapsed="false">
      <c r="A2" s="10" t="s">
        <v>47</v>
      </c>
      <c r="B2" s="11" t="s">
        <v>48</v>
      </c>
      <c r="C2" s="10" t="s">
        <v>49</v>
      </c>
      <c r="D2" s="12" t="s">
        <v>50</v>
      </c>
      <c r="E2" s="11" t="s">
        <v>51</v>
      </c>
    </row>
    <row r="3" customFormat="false" ht="31.5" hidden="false" customHeight="true" outlineLevel="0" collapsed="false">
      <c r="A3" s="13" t="s">
        <v>52</v>
      </c>
      <c r="B3" s="9" t="s">
        <v>53</v>
      </c>
      <c r="C3" s="13" t="s">
        <v>49</v>
      </c>
      <c r="D3" s="12" t="s">
        <v>50</v>
      </c>
      <c r="E3" s="9" t="s">
        <v>54</v>
      </c>
    </row>
    <row r="4" customFormat="false" ht="31.5" hidden="false" customHeight="true" outlineLevel="0" collapsed="false">
      <c r="A4" s="10" t="s">
        <v>55</v>
      </c>
      <c r="B4" s="11" t="s">
        <v>56</v>
      </c>
      <c r="C4" s="10" t="s">
        <v>49</v>
      </c>
      <c r="D4" s="12" t="s">
        <v>50</v>
      </c>
      <c r="E4" s="11" t="s">
        <v>57</v>
      </c>
    </row>
    <row r="5" customFormat="false" ht="31.5" hidden="false" customHeight="true" outlineLevel="0" collapsed="false">
      <c r="A5" s="13" t="s">
        <v>58</v>
      </c>
      <c r="B5" s="9" t="s">
        <v>59</v>
      </c>
      <c r="C5" s="13" t="s">
        <v>49</v>
      </c>
      <c r="D5" s="12" t="s">
        <v>50</v>
      </c>
      <c r="E5" s="9" t="s">
        <v>60</v>
      </c>
    </row>
    <row r="6" customFormat="false" ht="31.5" hidden="false" customHeight="true" outlineLevel="0" collapsed="false">
      <c r="A6" s="10" t="s">
        <v>61</v>
      </c>
      <c r="B6" s="11" t="s">
        <v>62</v>
      </c>
      <c r="C6" s="10" t="s">
        <v>49</v>
      </c>
      <c r="D6" s="12" t="s">
        <v>50</v>
      </c>
      <c r="E6" s="11" t="s">
        <v>63</v>
      </c>
    </row>
    <row r="7" customFormat="false" ht="31.5" hidden="false" customHeight="true" outlineLevel="0" collapsed="false">
      <c r="A7" s="13" t="s">
        <v>64</v>
      </c>
      <c r="B7" s="9" t="s">
        <v>65</v>
      </c>
      <c r="C7" s="13" t="s">
        <v>49</v>
      </c>
      <c r="D7" s="12" t="s">
        <v>50</v>
      </c>
      <c r="E7" s="9" t="s">
        <v>66</v>
      </c>
    </row>
    <row r="8" customFormat="false" ht="31.5" hidden="false" customHeight="true" outlineLevel="0" collapsed="false">
      <c r="A8" s="10" t="s">
        <v>67</v>
      </c>
      <c r="B8" s="11" t="s">
        <v>68</v>
      </c>
      <c r="C8" s="10" t="s">
        <v>49</v>
      </c>
      <c r="D8" s="12" t="s">
        <v>50</v>
      </c>
      <c r="E8" s="11" t="s">
        <v>69</v>
      </c>
    </row>
    <row r="9" customFormat="false" ht="31.5" hidden="false" customHeight="true" outlineLevel="0" collapsed="false">
      <c r="A9" s="13" t="s">
        <v>70</v>
      </c>
      <c r="B9" s="9" t="s">
        <v>71</v>
      </c>
      <c r="C9" s="13" t="s">
        <v>49</v>
      </c>
      <c r="D9" s="12" t="s">
        <v>50</v>
      </c>
      <c r="E9" s="9" t="s">
        <v>72</v>
      </c>
    </row>
    <row r="10" customFormat="false" ht="31.5" hidden="false" customHeight="true" outlineLevel="0" collapsed="false">
      <c r="A10" s="10" t="s">
        <v>73</v>
      </c>
      <c r="B10" s="11" t="s">
        <v>74</v>
      </c>
      <c r="C10" s="10" t="s">
        <v>49</v>
      </c>
      <c r="D10" s="12" t="s">
        <v>50</v>
      </c>
      <c r="E10" s="11" t="s">
        <v>75</v>
      </c>
    </row>
    <row r="11" customFormat="false" ht="31.5" hidden="false" customHeight="true" outlineLevel="0" collapsed="false">
      <c r="A11" s="13" t="s">
        <v>76</v>
      </c>
      <c r="B11" s="9" t="s">
        <v>77</v>
      </c>
      <c r="C11" s="13" t="s">
        <v>78</v>
      </c>
      <c r="D11" s="12" t="s">
        <v>50</v>
      </c>
      <c r="E11" s="9" t="s">
        <v>79</v>
      </c>
    </row>
    <row r="12" customFormat="false" ht="31.5" hidden="false" customHeight="true" outlineLevel="0" collapsed="false">
      <c r="A12" s="10" t="s">
        <v>80</v>
      </c>
      <c r="B12" s="11" t="s">
        <v>81</v>
      </c>
      <c r="C12" s="10" t="s">
        <v>78</v>
      </c>
      <c r="D12" s="12" t="s">
        <v>50</v>
      </c>
      <c r="E12" s="11" t="s">
        <v>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40"/>
    <col collapsed="false" customWidth="true" hidden="false" outlineLevel="0" max="3" min="3" style="0" width="10"/>
    <col collapsed="false" customWidth="true" hidden="false" outlineLevel="0" max="4" min="4" style="0" width="30"/>
    <col collapsed="false" customWidth="true" hidden="false" outlineLevel="0" max="5" min="5" style="0" width="14"/>
    <col collapsed="false" customWidth="true" hidden="false" outlineLevel="0" max="6" min="6" style="0" width="40"/>
    <col collapsed="false" customWidth="true" hidden="false" outlineLevel="0" max="7" min="7" style="0" width="70"/>
  </cols>
  <sheetData>
    <row r="1" customFormat="false" ht="31.5" hidden="false" customHeight="true" outlineLevel="0" collapsed="false">
      <c r="A1" s="7" t="s">
        <v>83</v>
      </c>
      <c r="B1" s="7" t="s">
        <v>84</v>
      </c>
      <c r="C1" s="7" t="s">
        <v>85</v>
      </c>
      <c r="D1" s="7" t="s">
        <v>86</v>
      </c>
      <c r="E1" s="7" t="s">
        <v>45</v>
      </c>
      <c r="F1" s="7" t="s">
        <v>87</v>
      </c>
      <c r="G1" s="7" t="s">
        <v>88</v>
      </c>
    </row>
    <row r="2" customFormat="false" ht="30" hidden="false" customHeight="true" outlineLevel="0" collapsed="false">
      <c r="A2" s="10" t="s">
        <v>89</v>
      </c>
      <c r="B2" s="11" t="s">
        <v>90</v>
      </c>
      <c r="C2" s="10" t="s">
        <v>47</v>
      </c>
      <c r="D2" s="11" t="str">
        <f aca="false">VLOOKUP(C2,Families!$A:$B,2,FALSE())</f>
        <v>Storefront &amp; Window Wall</v>
      </c>
      <c r="E2" s="12" t="s">
        <v>50</v>
      </c>
      <c r="F2" s="11" t="s">
        <v>91</v>
      </c>
      <c r="G2" s="11" t="s">
        <v>92</v>
      </c>
    </row>
    <row r="3" customFormat="false" ht="30" hidden="false" customHeight="true" outlineLevel="0" collapsed="false">
      <c r="A3" s="13" t="s">
        <v>93</v>
      </c>
      <c r="B3" s="9" t="s">
        <v>94</v>
      </c>
      <c r="C3" s="13" t="s">
        <v>47</v>
      </c>
      <c r="D3" s="9" t="str">
        <f aca="false">VLOOKUP(C3,Families!$A:$B,2,FALSE())</f>
        <v>Storefront &amp; Window Wall</v>
      </c>
      <c r="E3" s="12" t="s">
        <v>50</v>
      </c>
      <c r="F3" s="9" t="s">
        <v>95</v>
      </c>
      <c r="G3" s="9" t="s">
        <v>96</v>
      </c>
    </row>
    <row r="4" customFormat="false" ht="30" hidden="false" customHeight="true" outlineLevel="0" collapsed="false">
      <c r="A4" s="10" t="s">
        <v>97</v>
      </c>
      <c r="B4" s="11" t="s">
        <v>98</v>
      </c>
      <c r="C4" s="10" t="s">
        <v>47</v>
      </c>
      <c r="D4" s="11" t="str">
        <f aca="false">VLOOKUP(C4,Families!$A:$B,2,FALSE())</f>
        <v>Storefront &amp; Window Wall</v>
      </c>
      <c r="E4" s="12" t="s">
        <v>50</v>
      </c>
      <c r="F4" s="11" t="s">
        <v>99</v>
      </c>
      <c r="G4" s="11" t="s">
        <v>100</v>
      </c>
    </row>
    <row r="5" customFormat="false" ht="30" hidden="false" customHeight="true" outlineLevel="0" collapsed="false">
      <c r="A5" s="13" t="s">
        <v>101</v>
      </c>
      <c r="B5" s="9" t="s">
        <v>102</v>
      </c>
      <c r="C5" s="13" t="s">
        <v>47</v>
      </c>
      <c r="D5" s="9" t="str">
        <f aca="false">VLOOKUP(C5,Families!$A:$B,2,FALSE())</f>
        <v>Storefront &amp; Window Wall</v>
      </c>
      <c r="E5" s="12" t="s">
        <v>50</v>
      </c>
      <c r="F5" s="9" t="s">
        <v>103</v>
      </c>
      <c r="G5" s="9" t="s">
        <v>104</v>
      </c>
    </row>
    <row r="6" customFormat="false" ht="30" hidden="false" customHeight="true" outlineLevel="0" collapsed="false">
      <c r="A6" s="10" t="s">
        <v>105</v>
      </c>
      <c r="B6" s="11" t="s">
        <v>106</v>
      </c>
      <c r="C6" s="10" t="s">
        <v>47</v>
      </c>
      <c r="D6" s="11" t="str">
        <f aca="false">VLOOKUP(C6,Families!$A:$B,2,FALSE())</f>
        <v>Storefront &amp; Window Wall</v>
      </c>
      <c r="E6" s="12" t="s">
        <v>50</v>
      </c>
      <c r="F6" s="11" t="s">
        <v>107</v>
      </c>
      <c r="G6" s="11" t="s">
        <v>108</v>
      </c>
    </row>
    <row r="7" customFormat="false" ht="30" hidden="false" customHeight="true" outlineLevel="0" collapsed="false">
      <c r="A7" s="13" t="s">
        <v>109</v>
      </c>
      <c r="B7" s="9" t="s">
        <v>110</v>
      </c>
      <c r="C7" s="13" t="s">
        <v>47</v>
      </c>
      <c r="D7" s="9" t="str">
        <f aca="false">VLOOKUP(C7,Families!$A:$B,2,FALSE())</f>
        <v>Storefront &amp; Window Wall</v>
      </c>
      <c r="E7" s="12" t="s">
        <v>50</v>
      </c>
      <c r="F7" s="9" t="s">
        <v>111</v>
      </c>
      <c r="G7" s="9" t="s">
        <v>112</v>
      </c>
    </row>
    <row r="8" customFormat="false" ht="30" hidden="false" customHeight="true" outlineLevel="0" collapsed="false">
      <c r="A8" s="10" t="s">
        <v>113</v>
      </c>
      <c r="B8" s="11" t="s">
        <v>114</v>
      </c>
      <c r="C8" s="10" t="s">
        <v>47</v>
      </c>
      <c r="D8" s="11" t="str">
        <f aca="false">VLOOKUP(C8,Families!$A:$B,2,FALSE())</f>
        <v>Storefront &amp; Window Wall</v>
      </c>
      <c r="E8" s="12" t="s">
        <v>50</v>
      </c>
      <c r="F8" s="11" t="s">
        <v>115</v>
      </c>
      <c r="G8" s="11" t="s">
        <v>116</v>
      </c>
    </row>
    <row r="9" customFormat="false" ht="30" hidden="false" customHeight="true" outlineLevel="0" collapsed="false">
      <c r="A9" s="13" t="s">
        <v>117</v>
      </c>
      <c r="B9" s="9" t="s">
        <v>118</v>
      </c>
      <c r="C9" s="13" t="s">
        <v>47</v>
      </c>
      <c r="D9" s="9" t="str">
        <f aca="false">VLOOKUP(C9,Families!$A:$B,2,FALSE())</f>
        <v>Storefront &amp; Window Wall</v>
      </c>
      <c r="E9" s="12" t="s">
        <v>50</v>
      </c>
      <c r="F9" s="9" t="s">
        <v>119</v>
      </c>
      <c r="G9" s="9" t="s">
        <v>120</v>
      </c>
    </row>
    <row r="10" customFormat="false" ht="30" hidden="false" customHeight="true" outlineLevel="0" collapsed="false">
      <c r="A10" s="10" t="s">
        <v>121</v>
      </c>
      <c r="B10" s="11" t="s">
        <v>122</v>
      </c>
      <c r="C10" s="10" t="s">
        <v>47</v>
      </c>
      <c r="D10" s="11" t="str">
        <f aca="false">VLOOKUP(C10,Families!$A:$B,2,FALSE())</f>
        <v>Storefront &amp; Window Wall</v>
      </c>
      <c r="E10" s="12" t="s">
        <v>50</v>
      </c>
      <c r="F10" s="11" t="s">
        <v>123</v>
      </c>
      <c r="G10" s="11" t="s">
        <v>124</v>
      </c>
    </row>
    <row r="11" customFormat="false" ht="30" hidden="false" customHeight="true" outlineLevel="0" collapsed="false">
      <c r="A11" s="13" t="s">
        <v>125</v>
      </c>
      <c r="B11" s="9" t="s">
        <v>126</v>
      </c>
      <c r="C11" s="13" t="s">
        <v>52</v>
      </c>
      <c r="D11" s="9" t="str">
        <f aca="false">VLOOKUP(C11,Families!$A:$B,2,FALSE())</f>
        <v>Curtainwall</v>
      </c>
      <c r="E11" s="12" t="s">
        <v>50</v>
      </c>
      <c r="F11" s="9" t="s">
        <v>127</v>
      </c>
      <c r="G11" s="9" t="s">
        <v>128</v>
      </c>
    </row>
    <row r="12" customFormat="false" ht="30" hidden="false" customHeight="true" outlineLevel="0" collapsed="false">
      <c r="A12" s="10" t="s">
        <v>129</v>
      </c>
      <c r="B12" s="11" t="s">
        <v>130</v>
      </c>
      <c r="C12" s="10" t="s">
        <v>52</v>
      </c>
      <c r="D12" s="11" t="str">
        <f aca="false">VLOOKUP(C12,Families!$A:$B,2,FALSE())</f>
        <v>Curtainwall</v>
      </c>
      <c r="E12" s="12" t="s">
        <v>50</v>
      </c>
      <c r="F12" s="11" t="s">
        <v>131</v>
      </c>
      <c r="G12" s="11" t="s">
        <v>132</v>
      </c>
    </row>
    <row r="13" customFormat="false" ht="30" hidden="false" customHeight="true" outlineLevel="0" collapsed="false">
      <c r="A13" s="13" t="s">
        <v>133</v>
      </c>
      <c r="B13" s="9" t="s">
        <v>134</v>
      </c>
      <c r="C13" s="13" t="s">
        <v>52</v>
      </c>
      <c r="D13" s="9" t="str">
        <f aca="false">VLOOKUP(C13,Families!$A:$B,2,FALSE())</f>
        <v>Curtainwall</v>
      </c>
      <c r="E13" s="12" t="s">
        <v>50</v>
      </c>
      <c r="F13" s="9" t="s">
        <v>135</v>
      </c>
      <c r="G13" s="9" t="s">
        <v>136</v>
      </c>
    </row>
    <row r="14" customFormat="false" ht="30" hidden="false" customHeight="true" outlineLevel="0" collapsed="false">
      <c r="A14" s="10" t="s">
        <v>137</v>
      </c>
      <c r="B14" s="11" t="s">
        <v>138</v>
      </c>
      <c r="C14" s="10" t="s">
        <v>52</v>
      </c>
      <c r="D14" s="11" t="str">
        <f aca="false">VLOOKUP(C14,Families!$A:$B,2,FALSE())</f>
        <v>Curtainwall</v>
      </c>
      <c r="E14" s="12" t="s">
        <v>50</v>
      </c>
      <c r="F14" s="11" t="s">
        <v>139</v>
      </c>
      <c r="G14" s="11" t="s">
        <v>140</v>
      </c>
    </row>
    <row r="15" customFormat="false" ht="30" hidden="false" customHeight="true" outlineLevel="0" collapsed="false">
      <c r="A15" s="13" t="s">
        <v>141</v>
      </c>
      <c r="B15" s="9" t="s">
        <v>142</v>
      </c>
      <c r="C15" s="13" t="s">
        <v>55</v>
      </c>
      <c r="D15" s="9" t="str">
        <f aca="false">VLOOKUP(C15,Families!$A:$B,2,FALSE())</f>
        <v>Doors &amp; Entrances</v>
      </c>
      <c r="E15" s="12" t="s">
        <v>50</v>
      </c>
      <c r="F15" s="9" t="s">
        <v>143</v>
      </c>
      <c r="G15" s="9" t="s">
        <v>144</v>
      </c>
    </row>
    <row r="16" customFormat="false" ht="30" hidden="false" customHeight="true" outlineLevel="0" collapsed="false">
      <c r="A16" s="10" t="s">
        <v>145</v>
      </c>
      <c r="B16" s="11" t="s">
        <v>146</v>
      </c>
      <c r="C16" s="10" t="s">
        <v>55</v>
      </c>
      <c r="D16" s="11" t="str">
        <f aca="false">VLOOKUP(C16,Families!$A:$B,2,FALSE())</f>
        <v>Doors &amp; Entrances</v>
      </c>
      <c r="E16" s="12" t="s">
        <v>50</v>
      </c>
      <c r="F16" s="11" t="s">
        <v>147</v>
      </c>
      <c r="G16" s="11" t="s">
        <v>148</v>
      </c>
    </row>
    <row r="17" customFormat="false" ht="30" hidden="false" customHeight="true" outlineLevel="0" collapsed="false">
      <c r="A17" s="13" t="s">
        <v>149</v>
      </c>
      <c r="B17" s="9" t="s">
        <v>150</v>
      </c>
      <c r="C17" s="13" t="s">
        <v>55</v>
      </c>
      <c r="D17" s="9" t="str">
        <f aca="false">VLOOKUP(C17,Families!$A:$B,2,FALSE())</f>
        <v>Doors &amp; Entrances</v>
      </c>
      <c r="E17" s="12" t="s">
        <v>50</v>
      </c>
      <c r="F17" s="9" t="s">
        <v>151</v>
      </c>
      <c r="G17" s="9" t="s">
        <v>152</v>
      </c>
    </row>
    <row r="18" customFormat="false" ht="30" hidden="false" customHeight="true" outlineLevel="0" collapsed="false">
      <c r="A18" s="10" t="s">
        <v>153</v>
      </c>
      <c r="B18" s="11" t="s">
        <v>154</v>
      </c>
      <c r="C18" s="10" t="s">
        <v>55</v>
      </c>
      <c r="D18" s="11" t="str">
        <f aca="false">VLOOKUP(C18,Families!$A:$B,2,FALSE())</f>
        <v>Doors &amp; Entrances</v>
      </c>
      <c r="E18" s="12" t="s">
        <v>50</v>
      </c>
      <c r="F18" s="11" t="s">
        <v>155</v>
      </c>
      <c r="G18" s="11" t="s">
        <v>156</v>
      </c>
    </row>
    <row r="19" customFormat="false" ht="30" hidden="false" customHeight="true" outlineLevel="0" collapsed="false">
      <c r="A19" s="13" t="s">
        <v>157</v>
      </c>
      <c r="B19" s="9" t="s">
        <v>158</v>
      </c>
      <c r="C19" s="13" t="s">
        <v>55</v>
      </c>
      <c r="D19" s="9" t="str">
        <f aca="false">VLOOKUP(C19,Families!$A:$B,2,FALSE())</f>
        <v>Doors &amp; Entrances</v>
      </c>
      <c r="E19" s="12" t="s">
        <v>50</v>
      </c>
      <c r="F19" s="9" t="s">
        <v>159</v>
      </c>
      <c r="G19" s="9" t="s">
        <v>160</v>
      </c>
    </row>
    <row r="20" customFormat="false" ht="30" hidden="false" customHeight="true" outlineLevel="0" collapsed="false">
      <c r="A20" s="10" t="s">
        <v>161</v>
      </c>
      <c r="B20" s="11" t="s">
        <v>162</v>
      </c>
      <c r="C20" s="10" t="s">
        <v>55</v>
      </c>
      <c r="D20" s="11" t="str">
        <f aca="false">VLOOKUP(C20,Families!$A:$B,2,FALSE())</f>
        <v>Doors &amp; Entrances</v>
      </c>
      <c r="E20" s="12" t="s">
        <v>50</v>
      </c>
      <c r="F20" s="11" t="s">
        <v>163</v>
      </c>
      <c r="G20" s="11" t="s">
        <v>164</v>
      </c>
    </row>
    <row r="21" customFormat="false" ht="30" hidden="false" customHeight="true" outlineLevel="0" collapsed="false">
      <c r="A21" s="13" t="s">
        <v>165</v>
      </c>
      <c r="B21" s="9" t="s">
        <v>166</v>
      </c>
      <c r="C21" s="13" t="s">
        <v>55</v>
      </c>
      <c r="D21" s="9" t="str">
        <f aca="false">VLOOKUP(C21,Families!$A:$B,2,FALSE())</f>
        <v>Doors &amp; Entrances</v>
      </c>
      <c r="E21" s="12" t="s">
        <v>50</v>
      </c>
      <c r="F21" s="9" t="s">
        <v>167</v>
      </c>
      <c r="G21" s="9" t="s">
        <v>168</v>
      </c>
    </row>
    <row r="22" customFormat="false" ht="30" hidden="false" customHeight="true" outlineLevel="0" collapsed="false">
      <c r="A22" s="10" t="s">
        <v>169</v>
      </c>
      <c r="B22" s="11" t="s">
        <v>170</v>
      </c>
      <c r="C22" s="10" t="s">
        <v>55</v>
      </c>
      <c r="D22" s="11" t="str">
        <f aca="false">VLOOKUP(C22,Families!$A:$B,2,FALSE())</f>
        <v>Doors &amp; Entrances</v>
      </c>
      <c r="E22" s="12" t="s">
        <v>50</v>
      </c>
      <c r="F22" s="11" t="s">
        <v>171</v>
      </c>
      <c r="G22" s="11" t="s">
        <v>172</v>
      </c>
    </row>
    <row r="23" customFormat="false" ht="30" hidden="false" customHeight="true" outlineLevel="0" collapsed="false">
      <c r="A23" s="13" t="s">
        <v>173</v>
      </c>
      <c r="B23" s="9" t="s">
        <v>174</v>
      </c>
      <c r="C23" s="13" t="s">
        <v>55</v>
      </c>
      <c r="D23" s="9" t="str">
        <f aca="false">VLOOKUP(C23,Families!$A:$B,2,FALSE())</f>
        <v>Doors &amp; Entrances</v>
      </c>
      <c r="E23" s="12" t="s">
        <v>50</v>
      </c>
      <c r="F23" s="9" t="s">
        <v>175</v>
      </c>
      <c r="G23" s="9" t="s">
        <v>176</v>
      </c>
    </row>
    <row r="24" customFormat="false" ht="30" hidden="false" customHeight="true" outlineLevel="0" collapsed="false">
      <c r="A24" s="10" t="s">
        <v>177</v>
      </c>
      <c r="B24" s="11" t="s">
        <v>178</v>
      </c>
      <c r="C24" s="10" t="s">
        <v>55</v>
      </c>
      <c r="D24" s="11" t="str">
        <f aca="false">VLOOKUP(C24,Families!$A:$B,2,FALSE())</f>
        <v>Doors &amp; Entrances</v>
      </c>
      <c r="E24" s="12" t="s">
        <v>50</v>
      </c>
      <c r="F24" s="11" t="s">
        <v>179</v>
      </c>
      <c r="G24" s="11" t="s">
        <v>180</v>
      </c>
    </row>
    <row r="25" customFormat="false" ht="30" hidden="false" customHeight="true" outlineLevel="0" collapsed="false">
      <c r="A25" s="13" t="s">
        <v>181</v>
      </c>
      <c r="B25" s="9" t="s">
        <v>182</v>
      </c>
      <c r="C25" s="13" t="s">
        <v>55</v>
      </c>
      <c r="D25" s="9" t="str">
        <f aca="false">VLOOKUP(C25,Families!$A:$B,2,FALSE())</f>
        <v>Doors &amp; Entrances</v>
      </c>
      <c r="E25" s="12" t="s">
        <v>50</v>
      </c>
      <c r="F25" s="9" t="s">
        <v>183</v>
      </c>
      <c r="G25" s="9" t="s">
        <v>184</v>
      </c>
    </row>
    <row r="26" customFormat="false" ht="30" hidden="false" customHeight="true" outlineLevel="0" collapsed="false">
      <c r="A26" s="10" t="s">
        <v>185</v>
      </c>
      <c r="B26" s="11" t="s">
        <v>186</v>
      </c>
      <c r="C26" s="10" t="s">
        <v>55</v>
      </c>
      <c r="D26" s="11" t="str">
        <f aca="false">VLOOKUP(C26,Families!$A:$B,2,FALSE())</f>
        <v>Doors &amp; Entrances</v>
      </c>
      <c r="E26" s="12" t="s">
        <v>50</v>
      </c>
      <c r="F26" s="11" t="s">
        <v>187</v>
      </c>
      <c r="G26" s="11" t="s">
        <v>188</v>
      </c>
    </row>
    <row r="27" customFormat="false" ht="30" hidden="false" customHeight="true" outlineLevel="0" collapsed="false">
      <c r="A27" s="13" t="s">
        <v>189</v>
      </c>
      <c r="B27" s="9" t="s">
        <v>190</v>
      </c>
      <c r="C27" s="13" t="s">
        <v>55</v>
      </c>
      <c r="D27" s="9" t="str">
        <f aca="false">VLOOKUP(C27,Families!$A:$B,2,FALSE())</f>
        <v>Doors &amp; Entrances</v>
      </c>
      <c r="E27" s="12" t="s">
        <v>50</v>
      </c>
      <c r="F27" s="9" t="s">
        <v>191</v>
      </c>
      <c r="G27" s="9" t="s">
        <v>192</v>
      </c>
    </row>
    <row r="28" customFormat="false" ht="30" hidden="false" customHeight="true" outlineLevel="0" collapsed="false">
      <c r="A28" s="10" t="s">
        <v>193</v>
      </c>
      <c r="B28" s="11" t="s">
        <v>194</v>
      </c>
      <c r="C28" s="10" t="s">
        <v>55</v>
      </c>
      <c r="D28" s="11" t="str">
        <f aca="false">VLOOKUP(C28,Families!$A:$B,2,FALSE())</f>
        <v>Doors &amp; Entrances</v>
      </c>
      <c r="E28" s="12" t="s">
        <v>50</v>
      </c>
      <c r="F28" s="11" t="s">
        <v>195</v>
      </c>
      <c r="G28" s="11" t="s">
        <v>196</v>
      </c>
    </row>
    <row r="29" customFormat="false" ht="30" hidden="false" customHeight="true" outlineLevel="0" collapsed="false">
      <c r="A29" s="13" t="s">
        <v>197</v>
      </c>
      <c r="B29" s="9" t="s">
        <v>198</v>
      </c>
      <c r="C29" s="13" t="s">
        <v>55</v>
      </c>
      <c r="D29" s="9" t="str">
        <f aca="false">VLOOKUP(C29,Families!$A:$B,2,FALSE())</f>
        <v>Doors &amp; Entrances</v>
      </c>
      <c r="E29" s="12" t="s">
        <v>50</v>
      </c>
      <c r="F29" s="9" t="s">
        <v>199</v>
      </c>
      <c r="G29" s="9" t="s">
        <v>200</v>
      </c>
    </row>
    <row r="30" customFormat="false" ht="30" hidden="false" customHeight="true" outlineLevel="0" collapsed="false">
      <c r="A30" s="10" t="s">
        <v>201</v>
      </c>
      <c r="B30" s="11" t="s">
        <v>202</v>
      </c>
      <c r="C30" s="10" t="s">
        <v>55</v>
      </c>
      <c r="D30" s="11" t="str">
        <f aca="false">VLOOKUP(C30,Families!$A:$B,2,FALSE())</f>
        <v>Doors &amp; Entrances</v>
      </c>
      <c r="E30" s="12" t="s">
        <v>50</v>
      </c>
      <c r="F30" s="11" t="s">
        <v>203</v>
      </c>
      <c r="G30" s="11" t="s">
        <v>204</v>
      </c>
    </row>
    <row r="31" customFormat="false" ht="30" hidden="false" customHeight="true" outlineLevel="0" collapsed="false">
      <c r="A31" s="13" t="s">
        <v>205</v>
      </c>
      <c r="B31" s="9" t="s">
        <v>206</v>
      </c>
      <c r="C31" s="13" t="s">
        <v>58</v>
      </c>
      <c r="D31" s="9" t="str">
        <f aca="false">VLOOKUP(C31,Families!$A:$B,2,FALSE())</f>
        <v>Glass-Only Scopes</v>
      </c>
      <c r="E31" s="12" t="s">
        <v>50</v>
      </c>
      <c r="F31" s="9" t="s">
        <v>207</v>
      </c>
      <c r="G31" s="9" t="s">
        <v>208</v>
      </c>
    </row>
    <row r="32" customFormat="false" ht="30" hidden="false" customHeight="true" outlineLevel="0" collapsed="false">
      <c r="A32" s="10" t="s">
        <v>209</v>
      </c>
      <c r="B32" s="11" t="s">
        <v>210</v>
      </c>
      <c r="C32" s="10" t="s">
        <v>58</v>
      </c>
      <c r="D32" s="11" t="str">
        <f aca="false">VLOOKUP(C32,Families!$A:$B,2,FALSE())</f>
        <v>Glass-Only Scopes</v>
      </c>
      <c r="E32" s="12" t="s">
        <v>50</v>
      </c>
      <c r="F32" s="11" t="s">
        <v>211</v>
      </c>
      <c r="G32" s="11" t="s">
        <v>212</v>
      </c>
    </row>
    <row r="33" customFormat="false" ht="30" hidden="false" customHeight="true" outlineLevel="0" collapsed="false">
      <c r="A33" s="13" t="s">
        <v>213</v>
      </c>
      <c r="B33" s="9" t="s">
        <v>214</v>
      </c>
      <c r="C33" s="13" t="s">
        <v>58</v>
      </c>
      <c r="D33" s="9" t="str">
        <f aca="false">VLOOKUP(C33,Families!$A:$B,2,FALSE())</f>
        <v>Glass-Only Scopes</v>
      </c>
      <c r="E33" s="12" t="s">
        <v>50</v>
      </c>
      <c r="F33" s="9" t="s">
        <v>215</v>
      </c>
      <c r="G33" s="9" t="s">
        <v>216</v>
      </c>
    </row>
    <row r="34" customFormat="false" ht="30" hidden="false" customHeight="true" outlineLevel="0" collapsed="false">
      <c r="A34" s="10" t="s">
        <v>217</v>
      </c>
      <c r="B34" s="11" t="s">
        <v>218</v>
      </c>
      <c r="C34" s="10" t="s">
        <v>58</v>
      </c>
      <c r="D34" s="11" t="str">
        <f aca="false">VLOOKUP(C34,Families!$A:$B,2,FALSE())</f>
        <v>Glass-Only Scopes</v>
      </c>
      <c r="E34" s="12" t="s">
        <v>50</v>
      </c>
      <c r="F34" s="11" t="s">
        <v>219</v>
      </c>
      <c r="G34" s="11" t="s">
        <v>220</v>
      </c>
    </row>
    <row r="35" customFormat="false" ht="30" hidden="false" customHeight="true" outlineLevel="0" collapsed="false">
      <c r="A35" s="13" t="s">
        <v>221</v>
      </c>
      <c r="B35" s="9" t="s">
        <v>222</v>
      </c>
      <c r="C35" s="13" t="s">
        <v>58</v>
      </c>
      <c r="D35" s="9" t="str">
        <f aca="false">VLOOKUP(C35,Families!$A:$B,2,FALSE())</f>
        <v>Glass-Only Scopes</v>
      </c>
      <c r="E35" s="12" t="s">
        <v>50</v>
      </c>
      <c r="F35" s="9" t="s">
        <v>223</v>
      </c>
      <c r="G35" s="9" t="s">
        <v>224</v>
      </c>
    </row>
    <row r="36" customFormat="false" ht="30" hidden="false" customHeight="true" outlineLevel="0" collapsed="false">
      <c r="A36" s="10" t="s">
        <v>225</v>
      </c>
      <c r="B36" s="11" t="s">
        <v>226</v>
      </c>
      <c r="C36" s="10" t="s">
        <v>58</v>
      </c>
      <c r="D36" s="11" t="str">
        <f aca="false">VLOOKUP(C36,Families!$A:$B,2,FALSE())</f>
        <v>Glass-Only Scopes</v>
      </c>
      <c r="E36" s="12" t="s">
        <v>50</v>
      </c>
      <c r="F36" s="11" t="s">
        <v>227</v>
      </c>
      <c r="G36" s="11" t="s">
        <v>228</v>
      </c>
    </row>
    <row r="37" customFormat="false" ht="30" hidden="false" customHeight="true" outlineLevel="0" collapsed="false">
      <c r="A37" s="13" t="s">
        <v>229</v>
      </c>
      <c r="B37" s="9" t="s">
        <v>230</v>
      </c>
      <c r="C37" s="13" t="s">
        <v>58</v>
      </c>
      <c r="D37" s="9" t="str">
        <f aca="false">VLOOKUP(C37,Families!$A:$B,2,FALSE())</f>
        <v>Glass-Only Scopes</v>
      </c>
      <c r="E37" s="12" t="s">
        <v>50</v>
      </c>
      <c r="F37" s="9" t="s">
        <v>231</v>
      </c>
      <c r="G37" s="9" t="s">
        <v>232</v>
      </c>
    </row>
    <row r="38" customFormat="false" ht="30" hidden="false" customHeight="true" outlineLevel="0" collapsed="false">
      <c r="A38" s="10" t="s">
        <v>233</v>
      </c>
      <c r="B38" s="11" t="s">
        <v>234</v>
      </c>
      <c r="C38" s="10" t="s">
        <v>58</v>
      </c>
      <c r="D38" s="11" t="str">
        <f aca="false">VLOOKUP(C38,Families!$A:$B,2,FALSE())</f>
        <v>Glass-Only Scopes</v>
      </c>
      <c r="E38" s="12" t="s">
        <v>50</v>
      </c>
      <c r="F38" s="11" t="s">
        <v>235</v>
      </c>
      <c r="G38" s="11" t="s">
        <v>236</v>
      </c>
    </row>
    <row r="39" customFormat="false" ht="30" hidden="false" customHeight="true" outlineLevel="0" collapsed="false">
      <c r="A39" s="13" t="s">
        <v>237</v>
      </c>
      <c r="B39" s="9" t="s">
        <v>238</v>
      </c>
      <c r="C39" s="13" t="s">
        <v>58</v>
      </c>
      <c r="D39" s="9" t="str">
        <f aca="false">VLOOKUP(C39,Families!$A:$B,2,FALSE())</f>
        <v>Glass-Only Scopes</v>
      </c>
      <c r="E39" s="12" t="s">
        <v>50</v>
      </c>
      <c r="F39" s="9" t="s">
        <v>239</v>
      </c>
      <c r="G39" s="9" t="s">
        <v>240</v>
      </c>
    </row>
    <row r="40" customFormat="false" ht="30" hidden="false" customHeight="true" outlineLevel="0" collapsed="false">
      <c r="A40" s="10" t="s">
        <v>241</v>
      </c>
      <c r="B40" s="11" t="s">
        <v>242</v>
      </c>
      <c r="C40" s="10" t="s">
        <v>58</v>
      </c>
      <c r="D40" s="11" t="str">
        <f aca="false">VLOOKUP(C40,Families!$A:$B,2,FALSE())</f>
        <v>Glass-Only Scopes</v>
      </c>
      <c r="E40" s="12" t="s">
        <v>50</v>
      </c>
      <c r="F40" s="11" t="s">
        <v>243</v>
      </c>
      <c r="G40" s="11" t="s">
        <v>244</v>
      </c>
    </row>
    <row r="41" customFormat="false" ht="30" hidden="false" customHeight="true" outlineLevel="0" collapsed="false">
      <c r="A41" s="13" t="s">
        <v>245</v>
      </c>
      <c r="B41" s="9" t="s">
        <v>246</v>
      </c>
      <c r="C41" s="13" t="s">
        <v>58</v>
      </c>
      <c r="D41" s="9" t="str">
        <f aca="false">VLOOKUP(C41,Families!$A:$B,2,FALSE())</f>
        <v>Glass-Only Scopes</v>
      </c>
      <c r="E41" s="12" t="s">
        <v>50</v>
      </c>
      <c r="F41" s="9" t="s">
        <v>247</v>
      </c>
      <c r="G41" s="9" t="s">
        <v>248</v>
      </c>
    </row>
    <row r="42" customFormat="false" ht="30" hidden="false" customHeight="true" outlineLevel="0" collapsed="false">
      <c r="A42" s="10" t="s">
        <v>249</v>
      </c>
      <c r="B42" s="11" t="s">
        <v>250</v>
      </c>
      <c r="C42" s="10" t="s">
        <v>61</v>
      </c>
      <c r="D42" s="11" t="str">
        <f aca="false">VLOOKUP(C42,Families!$A:$B,2,FALSE())</f>
        <v>Shower &amp; Tub Enclosures</v>
      </c>
      <c r="E42" s="12" t="s">
        <v>50</v>
      </c>
      <c r="F42" s="11" t="s">
        <v>251</v>
      </c>
      <c r="G42" s="11" t="s">
        <v>252</v>
      </c>
    </row>
    <row r="43" customFormat="false" ht="30" hidden="false" customHeight="true" outlineLevel="0" collapsed="false">
      <c r="A43" s="13" t="s">
        <v>253</v>
      </c>
      <c r="B43" s="9" t="s">
        <v>254</v>
      </c>
      <c r="C43" s="13" t="s">
        <v>61</v>
      </c>
      <c r="D43" s="9" t="str">
        <f aca="false">VLOOKUP(C43,Families!$A:$B,2,FALSE())</f>
        <v>Shower &amp; Tub Enclosures</v>
      </c>
      <c r="E43" s="12" t="s">
        <v>50</v>
      </c>
      <c r="F43" s="9" t="s">
        <v>255</v>
      </c>
      <c r="G43" s="9" t="s">
        <v>256</v>
      </c>
    </row>
    <row r="44" customFormat="false" ht="30" hidden="false" customHeight="true" outlineLevel="0" collapsed="false">
      <c r="A44" s="10" t="s">
        <v>257</v>
      </c>
      <c r="B44" s="11" t="s">
        <v>258</v>
      </c>
      <c r="C44" s="10" t="s">
        <v>61</v>
      </c>
      <c r="D44" s="11" t="str">
        <f aca="false">VLOOKUP(C44,Families!$A:$B,2,FALSE())</f>
        <v>Shower &amp; Tub Enclosures</v>
      </c>
      <c r="E44" s="12" t="s">
        <v>50</v>
      </c>
      <c r="F44" s="11" t="s">
        <v>259</v>
      </c>
      <c r="G44" s="11" t="s">
        <v>260</v>
      </c>
    </row>
    <row r="45" customFormat="false" ht="30" hidden="false" customHeight="true" outlineLevel="0" collapsed="false">
      <c r="A45" s="13" t="s">
        <v>261</v>
      </c>
      <c r="B45" s="9" t="s">
        <v>262</v>
      </c>
      <c r="C45" s="13" t="s">
        <v>61</v>
      </c>
      <c r="D45" s="9" t="str">
        <f aca="false">VLOOKUP(C45,Families!$A:$B,2,FALSE())</f>
        <v>Shower &amp; Tub Enclosures</v>
      </c>
      <c r="E45" s="12" t="s">
        <v>50</v>
      </c>
      <c r="F45" s="9" t="s">
        <v>263</v>
      </c>
      <c r="G45" s="9" t="s">
        <v>264</v>
      </c>
    </row>
    <row r="46" customFormat="false" ht="30" hidden="false" customHeight="true" outlineLevel="0" collapsed="false">
      <c r="A46" s="10" t="s">
        <v>265</v>
      </c>
      <c r="B46" s="11" t="s">
        <v>266</v>
      </c>
      <c r="C46" s="10" t="s">
        <v>64</v>
      </c>
      <c r="D46" s="11" t="str">
        <f aca="false">VLOOKUP(C46,Families!$A:$B,2,FALSE())</f>
        <v>Railings &amp; Guards</v>
      </c>
      <c r="E46" s="12" t="s">
        <v>50</v>
      </c>
      <c r="F46" s="11" t="s">
        <v>267</v>
      </c>
      <c r="G46" s="11" t="s">
        <v>268</v>
      </c>
    </row>
    <row r="47" customFormat="false" ht="30" hidden="false" customHeight="true" outlineLevel="0" collapsed="false">
      <c r="A47" s="13" t="s">
        <v>269</v>
      </c>
      <c r="B47" s="9" t="s">
        <v>270</v>
      </c>
      <c r="C47" s="13" t="s">
        <v>64</v>
      </c>
      <c r="D47" s="9" t="str">
        <f aca="false">VLOOKUP(C47,Families!$A:$B,2,FALSE())</f>
        <v>Railings &amp; Guards</v>
      </c>
      <c r="E47" s="12" t="s">
        <v>50</v>
      </c>
      <c r="F47" s="9" t="s">
        <v>271</v>
      </c>
      <c r="G47" s="9" t="s">
        <v>272</v>
      </c>
    </row>
    <row r="48" customFormat="false" ht="30" hidden="false" customHeight="true" outlineLevel="0" collapsed="false">
      <c r="A48" s="10" t="s">
        <v>273</v>
      </c>
      <c r="B48" s="11" t="s">
        <v>274</v>
      </c>
      <c r="C48" s="10" t="s">
        <v>64</v>
      </c>
      <c r="D48" s="11" t="str">
        <f aca="false">VLOOKUP(C48,Families!$A:$B,2,FALSE())</f>
        <v>Railings &amp; Guards</v>
      </c>
      <c r="E48" s="12" t="s">
        <v>50</v>
      </c>
      <c r="F48" s="11" t="s">
        <v>275</v>
      </c>
      <c r="G48" s="11" t="s">
        <v>276</v>
      </c>
    </row>
    <row r="49" customFormat="false" ht="30" hidden="false" customHeight="true" outlineLevel="0" collapsed="false">
      <c r="A49" s="13" t="s">
        <v>277</v>
      </c>
      <c r="B49" s="9" t="s">
        <v>278</v>
      </c>
      <c r="C49" s="13" t="s">
        <v>67</v>
      </c>
      <c r="D49" s="9" t="str">
        <f aca="false">VLOOKUP(C49,Families!$A:$B,2,FALSE())</f>
        <v>Skylights &amp; Sloped Glazing</v>
      </c>
      <c r="E49" s="12" t="s">
        <v>50</v>
      </c>
      <c r="F49" s="9" t="s">
        <v>279</v>
      </c>
      <c r="G49" s="9" t="s">
        <v>280</v>
      </c>
    </row>
    <row r="50" customFormat="false" ht="30" hidden="false" customHeight="true" outlineLevel="0" collapsed="false">
      <c r="A50" s="10" t="s">
        <v>281</v>
      </c>
      <c r="B50" s="11" t="s">
        <v>282</v>
      </c>
      <c r="C50" s="10" t="s">
        <v>67</v>
      </c>
      <c r="D50" s="11" t="str">
        <f aca="false">VLOOKUP(C50,Families!$A:$B,2,FALSE())</f>
        <v>Skylights &amp; Sloped Glazing</v>
      </c>
      <c r="E50" s="12" t="s">
        <v>50</v>
      </c>
      <c r="F50" s="11" t="s">
        <v>283</v>
      </c>
      <c r="G50" s="11" t="s">
        <v>284</v>
      </c>
    </row>
    <row r="51" customFormat="false" ht="30" hidden="false" customHeight="true" outlineLevel="0" collapsed="false">
      <c r="A51" s="13" t="s">
        <v>285</v>
      </c>
      <c r="B51" s="9" t="s">
        <v>286</v>
      </c>
      <c r="C51" s="13" t="s">
        <v>67</v>
      </c>
      <c r="D51" s="9" t="str">
        <f aca="false">VLOOKUP(C51,Families!$A:$B,2,FALSE())</f>
        <v>Skylights &amp; Sloped Glazing</v>
      </c>
      <c r="E51" s="12" t="s">
        <v>50</v>
      </c>
      <c r="F51" s="9" t="s">
        <v>287</v>
      </c>
      <c r="G51" s="9" t="s">
        <v>288</v>
      </c>
    </row>
    <row r="52" customFormat="false" ht="30" hidden="false" customHeight="true" outlineLevel="0" collapsed="false">
      <c r="A52" s="10" t="s">
        <v>289</v>
      </c>
      <c r="B52" s="11" t="s">
        <v>290</v>
      </c>
      <c r="C52" s="10" t="s">
        <v>67</v>
      </c>
      <c r="D52" s="11" t="str">
        <f aca="false">VLOOKUP(C52,Families!$A:$B,2,FALSE())</f>
        <v>Skylights &amp; Sloped Glazing</v>
      </c>
      <c r="E52" s="12" t="s">
        <v>50</v>
      </c>
      <c r="F52" s="11" t="s">
        <v>291</v>
      </c>
      <c r="G52" s="11" t="s">
        <v>292</v>
      </c>
    </row>
    <row r="53" customFormat="false" ht="30" hidden="false" customHeight="true" outlineLevel="0" collapsed="false">
      <c r="A53" s="13" t="s">
        <v>293</v>
      </c>
      <c r="B53" s="9" t="s">
        <v>294</v>
      </c>
      <c r="C53" s="13" t="s">
        <v>70</v>
      </c>
      <c r="D53" s="9" t="str">
        <f aca="false">VLOOKUP(C53,Families!$A:$B,2,FALSE())</f>
        <v>Interior Partitions</v>
      </c>
      <c r="E53" s="12" t="s">
        <v>50</v>
      </c>
      <c r="F53" s="9" t="s">
        <v>295</v>
      </c>
      <c r="G53" s="9" t="s">
        <v>296</v>
      </c>
    </row>
    <row r="54" customFormat="false" ht="30" hidden="false" customHeight="true" outlineLevel="0" collapsed="false">
      <c r="A54" s="10" t="s">
        <v>297</v>
      </c>
      <c r="B54" s="11" t="s">
        <v>298</v>
      </c>
      <c r="C54" s="10" t="s">
        <v>70</v>
      </c>
      <c r="D54" s="11" t="str">
        <f aca="false">VLOOKUP(C54,Families!$A:$B,2,FALSE())</f>
        <v>Interior Partitions</v>
      </c>
      <c r="E54" s="12" t="s">
        <v>50</v>
      </c>
      <c r="F54" s="11" t="s">
        <v>299</v>
      </c>
      <c r="G54" s="11" t="s">
        <v>300</v>
      </c>
    </row>
    <row r="55" customFormat="false" ht="30" hidden="false" customHeight="true" outlineLevel="0" collapsed="false">
      <c r="A55" s="13" t="s">
        <v>301</v>
      </c>
      <c r="B55" s="9" t="s">
        <v>302</v>
      </c>
      <c r="C55" s="13" t="s">
        <v>70</v>
      </c>
      <c r="D55" s="9" t="str">
        <f aca="false">VLOOKUP(C55,Families!$A:$B,2,FALSE())</f>
        <v>Interior Partitions</v>
      </c>
      <c r="E55" s="12" t="s">
        <v>50</v>
      </c>
      <c r="F55" s="9" t="s">
        <v>303</v>
      </c>
      <c r="G55" s="9" t="s">
        <v>304</v>
      </c>
    </row>
    <row r="56" customFormat="false" ht="30" hidden="false" customHeight="true" outlineLevel="0" collapsed="false">
      <c r="A56" s="10" t="s">
        <v>305</v>
      </c>
      <c r="B56" s="11" t="s">
        <v>306</v>
      </c>
      <c r="C56" s="10" t="s">
        <v>70</v>
      </c>
      <c r="D56" s="11" t="str">
        <f aca="false">VLOOKUP(C56,Families!$A:$B,2,FALSE())</f>
        <v>Interior Partitions</v>
      </c>
      <c r="E56" s="12" t="s">
        <v>50</v>
      </c>
      <c r="F56" s="11" t="s">
        <v>307</v>
      </c>
      <c r="G56" s="11" t="s">
        <v>308</v>
      </c>
    </row>
    <row r="57" customFormat="false" ht="30" hidden="false" customHeight="true" outlineLevel="0" collapsed="false">
      <c r="A57" s="13" t="s">
        <v>309</v>
      </c>
      <c r="B57" s="9" t="s">
        <v>310</v>
      </c>
      <c r="C57" s="13" t="s">
        <v>73</v>
      </c>
      <c r="D57" s="9" t="str">
        <f aca="false">VLOOKUP(C57,Families!$A:$B,2,FALSE())</f>
        <v>Panels &amp; Metalwork</v>
      </c>
      <c r="E57" s="12" t="s">
        <v>50</v>
      </c>
      <c r="F57" s="9" t="s">
        <v>311</v>
      </c>
      <c r="G57" s="9" t="s">
        <v>312</v>
      </c>
    </row>
    <row r="58" customFormat="false" ht="30" hidden="false" customHeight="true" outlineLevel="0" collapsed="false">
      <c r="A58" s="10" t="s">
        <v>313</v>
      </c>
      <c r="B58" s="11" t="s">
        <v>314</v>
      </c>
      <c r="C58" s="10" t="s">
        <v>73</v>
      </c>
      <c r="D58" s="11" t="str">
        <f aca="false">VLOOKUP(C58,Families!$A:$B,2,FALSE())</f>
        <v>Panels &amp; Metalwork</v>
      </c>
      <c r="E58" s="12" t="s">
        <v>50</v>
      </c>
      <c r="F58" s="11" t="s">
        <v>315</v>
      </c>
      <c r="G58" s="11" t="s">
        <v>316</v>
      </c>
    </row>
    <row r="59" customFormat="false" ht="30" hidden="false" customHeight="true" outlineLevel="0" collapsed="false">
      <c r="A59" s="13" t="s">
        <v>317</v>
      </c>
      <c r="B59" s="9" t="s">
        <v>318</v>
      </c>
      <c r="C59" s="13" t="s">
        <v>73</v>
      </c>
      <c r="D59" s="9" t="str">
        <f aca="false">VLOOKUP(C59,Families!$A:$B,2,FALSE())</f>
        <v>Panels &amp; Metalwork</v>
      </c>
      <c r="E59" s="12" t="s">
        <v>50</v>
      </c>
      <c r="F59" s="9" t="s">
        <v>319</v>
      </c>
      <c r="G59" s="9" t="s">
        <v>320</v>
      </c>
    </row>
    <row r="60" customFormat="false" ht="30" hidden="false" customHeight="true" outlineLevel="0" collapsed="false">
      <c r="A60" s="10" t="s">
        <v>321</v>
      </c>
      <c r="B60" s="11" t="s">
        <v>322</v>
      </c>
      <c r="C60" s="10" t="s">
        <v>73</v>
      </c>
      <c r="D60" s="11" t="str">
        <f aca="false">VLOOKUP(C60,Families!$A:$B,2,FALSE())</f>
        <v>Panels &amp; Metalwork</v>
      </c>
      <c r="E60" s="12" t="s">
        <v>50</v>
      </c>
      <c r="F60" s="11" t="s">
        <v>323</v>
      </c>
      <c r="G60" s="11" t="s">
        <v>324</v>
      </c>
    </row>
    <row r="61" customFormat="false" ht="30" hidden="false" customHeight="true" outlineLevel="0" collapsed="false">
      <c r="A61" s="13" t="s">
        <v>325</v>
      </c>
      <c r="B61" s="9" t="s">
        <v>326</v>
      </c>
      <c r="C61" s="13" t="s">
        <v>73</v>
      </c>
      <c r="D61" s="9" t="str">
        <f aca="false">VLOOKUP(C61,Families!$A:$B,2,FALSE())</f>
        <v>Panels &amp; Metalwork</v>
      </c>
      <c r="E61" s="12" t="s">
        <v>50</v>
      </c>
      <c r="F61" s="9" t="s">
        <v>327</v>
      </c>
      <c r="G61" s="9" t="s">
        <v>328</v>
      </c>
    </row>
    <row r="62" customFormat="false" ht="30" hidden="false" customHeight="true" outlineLevel="0" collapsed="false">
      <c r="A62" s="10" t="s">
        <v>329</v>
      </c>
      <c r="B62" s="11" t="s">
        <v>330</v>
      </c>
      <c r="C62" s="10" t="s">
        <v>73</v>
      </c>
      <c r="D62" s="11" t="str">
        <f aca="false">VLOOKUP(C62,Families!$A:$B,2,FALSE())</f>
        <v>Panels &amp; Metalwork</v>
      </c>
      <c r="E62" s="12" t="s">
        <v>50</v>
      </c>
      <c r="F62" s="11" t="s">
        <v>331</v>
      </c>
      <c r="G62" s="11" t="s">
        <v>332</v>
      </c>
    </row>
    <row r="63" customFormat="false" ht="30" hidden="false" customHeight="true" outlineLevel="0" collapsed="false">
      <c r="A63" s="13" t="s">
        <v>333</v>
      </c>
      <c r="B63" s="9" t="s">
        <v>334</v>
      </c>
      <c r="C63" s="13" t="s">
        <v>73</v>
      </c>
      <c r="D63" s="9" t="str">
        <f aca="false">VLOOKUP(C63,Families!$A:$B,2,FALSE())</f>
        <v>Panels &amp; Metalwork</v>
      </c>
      <c r="E63" s="12" t="s">
        <v>50</v>
      </c>
      <c r="F63" s="9" t="s">
        <v>335</v>
      </c>
      <c r="G63" s="9" t="s">
        <v>336</v>
      </c>
    </row>
    <row r="64" customFormat="false" ht="30" hidden="false" customHeight="true" outlineLevel="0" collapsed="false">
      <c r="A64" s="10" t="s">
        <v>337</v>
      </c>
      <c r="B64" s="11" t="s">
        <v>338</v>
      </c>
      <c r="C64" s="10" t="s">
        <v>73</v>
      </c>
      <c r="D64" s="11" t="str">
        <f aca="false">VLOOKUP(C64,Families!$A:$B,2,FALSE())</f>
        <v>Panels &amp; Metalwork</v>
      </c>
      <c r="E64" s="12" t="s">
        <v>50</v>
      </c>
      <c r="F64" s="11" t="s">
        <v>339</v>
      </c>
      <c r="G64" s="11" t="s">
        <v>340</v>
      </c>
    </row>
    <row r="65" customFormat="false" ht="30" hidden="false" customHeight="true" outlineLevel="0" collapsed="false">
      <c r="A65" s="13" t="s">
        <v>341</v>
      </c>
      <c r="B65" s="9" t="s">
        <v>342</v>
      </c>
      <c r="C65" s="13" t="s">
        <v>73</v>
      </c>
      <c r="D65" s="9" t="str">
        <f aca="false">VLOOKUP(C65,Families!$A:$B,2,FALSE())</f>
        <v>Panels &amp; Metalwork</v>
      </c>
      <c r="E65" s="12" t="s">
        <v>50</v>
      </c>
      <c r="F65" s="9" t="s">
        <v>343</v>
      </c>
      <c r="G65" s="9" t="s">
        <v>344</v>
      </c>
    </row>
    <row r="66" customFormat="false" ht="30" hidden="false" customHeight="true" outlineLevel="0" collapsed="false">
      <c r="A66" s="10" t="s">
        <v>345</v>
      </c>
      <c r="B66" s="11" t="s">
        <v>346</v>
      </c>
      <c r="C66" s="10" t="s">
        <v>73</v>
      </c>
      <c r="D66" s="11" t="str">
        <f aca="false">VLOOKUP(C66,Families!$A:$B,2,FALSE())</f>
        <v>Panels &amp; Metalwork</v>
      </c>
      <c r="E66" s="12" t="s">
        <v>50</v>
      </c>
      <c r="F66" s="11" t="s">
        <v>347</v>
      </c>
      <c r="G66" s="11" t="s">
        <v>348</v>
      </c>
    </row>
    <row r="67" customFormat="false" ht="30" hidden="false" customHeight="true" outlineLevel="0" collapsed="false">
      <c r="A67" s="13" t="s">
        <v>349</v>
      </c>
      <c r="B67" s="9" t="s">
        <v>350</v>
      </c>
      <c r="C67" s="13" t="s">
        <v>73</v>
      </c>
      <c r="D67" s="9" t="str">
        <f aca="false">VLOOKUP(C67,Families!$A:$B,2,FALSE())</f>
        <v>Panels &amp; Metalwork</v>
      </c>
      <c r="E67" s="12" t="s">
        <v>50</v>
      </c>
      <c r="F67" s="9" t="s">
        <v>351</v>
      </c>
      <c r="G67" s="9" t="s">
        <v>352</v>
      </c>
    </row>
    <row r="68" customFormat="false" ht="30" hidden="false" customHeight="true" outlineLevel="0" collapsed="false">
      <c r="A68" s="10" t="s">
        <v>353</v>
      </c>
      <c r="B68" s="11" t="s">
        <v>354</v>
      </c>
      <c r="C68" s="10" t="s">
        <v>76</v>
      </c>
      <c r="D68" s="11" t="str">
        <f aca="false">VLOOKUP(C68,Families!$A:$B,2,FALSE())</f>
        <v>Service &amp; Repair</v>
      </c>
      <c r="E68" s="12" t="s">
        <v>50</v>
      </c>
      <c r="F68" s="11" t="s">
        <v>355</v>
      </c>
      <c r="G68" s="11" t="s">
        <v>356</v>
      </c>
    </row>
    <row r="69" customFormat="false" ht="30" hidden="false" customHeight="true" outlineLevel="0" collapsed="false">
      <c r="A69" s="13" t="s">
        <v>357</v>
      </c>
      <c r="B69" s="9" t="s">
        <v>358</v>
      </c>
      <c r="C69" s="13" t="s">
        <v>76</v>
      </c>
      <c r="D69" s="9" t="str">
        <f aca="false">VLOOKUP(C69,Families!$A:$B,2,FALSE())</f>
        <v>Service &amp; Repair</v>
      </c>
      <c r="E69" s="12" t="s">
        <v>50</v>
      </c>
      <c r="F69" s="9" t="s">
        <v>359</v>
      </c>
      <c r="G69" s="9" t="s">
        <v>360</v>
      </c>
    </row>
    <row r="70" customFormat="false" ht="30" hidden="false" customHeight="true" outlineLevel="0" collapsed="false">
      <c r="A70" s="10" t="s">
        <v>361</v>
      </c>
      <c r="B70" s="11" t="s">
        <v>362</v>
      </c>
      <c r="C70" s="10" t="s">
        <v>76</v>
      </c>
      <c r="D70" s="11" t="str">
        <f aca="false">VLOOKUP(C70,Families!$A:$B,2,FALSE())</f>
        <v>Service &amp; Repair</v>
      </c>
      <c r="E70" s="12" t="s">
        <v>50</v>
      </c>
      <c r="F70" s="11" t="s">
        <v>363</v>
      </c>
      <c r="G70" s="11" t="s">
        <v>364</v>
      </c>
    </row>
    <row r="71" customFormat="false" ht="30" hidden="false" customHeight="true" outlineLevel="0" collapsed="false">
      <c r="A71" s="13" t="s">
        <v>365</v>
      </c>
      <c r="B71" s="9" t="s">
        <v>366</v>
      </c>
      <c r="C71" s="13" t="s">
        <v>76</v>
      </c>
      <c r="D71" s="9" t="str">
        <f aca="false">VLOOKUP(C71,Families!$A:$B,2,FALSE())</f>
        <v>Service &amp; Repair</v>
      </c>
      <c r="E71" s="12" t="s">
        <v>50</v>
      </c>
      <c r="F71" s="9" t="s">
        <v>367</v>
      </c>
      <c r="G71" s="9" t="s">
        <v>368</v>
      </c>
    </row>
    <row r="72" customFormat="false" ht="30" hidden="false" customHeight="true" outlineLevel="0" collapsed="false">
      <c r="A72" s="10" t="s">
        <v>369</v>
      </c>
      <c r="B72" s="11" t="s">
        <v>370</v>
      </c>
      <c r="C72" s="10" t="s">
        <v>76</v>
      </c>
      <c r="D72" s="11" t="str">
        <f aca="false">VLOOKUP(C72,Families!$A:$B,2,FALSE())</f>
        <v>Service &amp; Repair</v>
      </c>
      <c r="E72" s="12" t="s">
        <v>50</v>
      </c>
      <c r="F72" s="11" t="s">
        <v>371</v>
      </c>
      <c r="G72" s="11" t="s">
        <v>372</v>
      </c>
    </row>
    <row r="73" customFormat="false" ht="30" hidden="false" customHeight="true" outlineLevel="0" collapsed="false">
      <c r="A73" s="13" t="s">
        <v>373</v>
      </c>
      <c r="B73" s="9" t="s">
        <v>374</v>
      </c>
      <c r="C73" s="13" t="s">
        <v>76</v>
      </c>
      <c r="D73" s="9" t="str">
        <f aca="false">VLOOKUP(C73,Families!$A:$B,2,FALSE())</f>
        <v>Service &amp; Repair</v>
      </c>
      <c r="E73" s="12" t="s">
        <v>50</v>
      </c>
      <c r="F73" s="9" t="s">
        <v>375</v>
      </c>
      <c r="G73" s="9" t="s">
        <v>376</v>
      </c>
    </row>
    <row r="74" customFormat="false" ht="30" hidden="false" customHeight="true" outlineLevel="0" collapsed="false">
      <c r="A74" s="10" t="s">
        <v>377</v>
      </c>
      <c r="B74" s="11" t="s">
        <v>378</v>
      </c>
      <c r="C74" s="10" t="s">
        <v>76</v>
      </c>
      <c r="D74" s="11" t="str">
        <f aca="false">VLOOKUP(C74,Families!$A:$B,2,FALSE())</f>
        <v>Service &amp; Repair</v>
      </c>
      <c r="E74" s="12" t="s">
        <v>50</v>
      </c>
      <c r="F74" s="11" t="s">
        <v>379</v>
      </c>
      <c r="G74" s="11" t="s">
        <v>380</v>
      </c>
    </row>
    <row r="75" customFormat="false" ht="30" hidden="false" customHeight="true" outlineLevel="0" collapsed="false">
      <c r="A75" s="13" t="s">
        <v>381</v>
      </c>
      <c r="B75" s="9" t="s">
        <v>382</v>
      </c>
      <c r="C75" s="13" t="s">
        <v>80</v>
      </c>
      <c r="D75" s="9" t="str">
        <f aca="false">VLOOKUP(C75,Families!$A:$B,2,FALSE())</f>
        <v>Specialty &amp; Novel</v>
      </c>
      <c r="E75" s="12" t="s">
        <v>50</v>
      </c>
      <c r="F75" s="9" t="s">
        <v>383</v>
      </c>
      <c r="G75" s="9" t="s">
        <v>384</v>
      </c>
    </row>
    <row r="76" customFormat="false" ht="30" hidden="false" customHeight="true" outlineLevel="0" collapsed="false">
      <c r="A76" s="10" t="s">
        <v>385</v>
      </c>
      <c r="B76" s="11" t="s">
        <v>386</v>
      </c>
      <c r="C76" s="10" t="s">
        <v>80</v>
      </c>
      <c r="D76" s="11" t="str">
        <f aca="false">VLOOKUP(C76,Families!$A:$B,2,FALSE())</f>
        <v>Specialty &amp; Novel</v>
      </c>
      <c r="E76" s="12" t="s">
        <v>50</v>
      </c>
      <c r="F76" s="11" t="s">
        <v>387</v>
      </c>
      <c r="G76" s="11" t="s">
        <v>388</v>
      </c>
    </row>
    <row r="77" customFormat="false" ht="30" hidden="false" customHeight="true" outlineLevel="0" collapsed="false">
      <c r="A77" s="13" t="s">
        <v>389</v>
      </c>
      <c r="B77" s="9" t="s">
        <v>390</v>
      </c>
      <c r="C77" s="13" t="s">
        <v>80</v>
      </c>
      <c r="D77" s="9" t="str">
        <f aca="false">VLOOKUP(C77,Families!$A:$B,2,FALSE())</f>
        <v>Specialty &amp; Novel</v>
      </c>
      <c r="E77" s="12" t="s">
        <v>50</v>
      </c>
      <c r="F77" s="9" t="s">
        <v>391</v>
      </c>
      <c r="G77" s="9" t="s">
        <v>392</v>
      </c>
    </row>
    <row r="78" customFormat="false" ht="30" hidden="false" customHeight="true" outlineLevel="0" collapsed="false">
      <c r="A78" s="10" t="s">
        <v>393</v>
      </c>
      <c r="B78" s="11" t="s">
        <v>394</v>
      </c>
      <c r="C78" s="10" t="s">
        <v>80</v>
      </c>
      <c r="D78" s="11" t="str">
        <f aca="false">VLOOKUP(C78,Families!$A:$B,2,FALSE())</f>
        <v>Specialty &amp; Novel</v>
      </c>
      <c r="E78" s="12" t="s">
        <v>50</v>
      </c>
      <c r="F78" s="11" t="s">
        <v>395</v>
      </c>
      <c r="G78" s="11" t="s">
        <v>396</v>
      </c>
    </row>
    <row r="79" customFormat="false" ht="30" hidden="false" customHeight="true" outlineLevel="0" collapsed="false">
      <c r="A79" s="13" t="s">
        <v>397</v>
      </c>
      <c r="B79" s="9" t="s">
        <v>398</v>
      </c>
      <c r="C79" s="13" t="s">
        <v>80</v>
      </c>
      <c r="D79" s="9" t="str">
        <f aca="false">VLOOKUP(C79,Families!$A:$B,2,FALSE())</f>
        <v>Specialty &amp; Novel</v>
      </c>
      <c r="E79" s="12" t="s">
        <v>50</v>
      </c>
      <c r="F79" s="9" t="s">
        <v>399</v>
      </c>
      <c r="G79" s="9" t="s">
        <v>400</v>
      </c>
    </row>
    <row r="80" customFormat="false" ht="30" hidden="false" customHeight="true" outlineLevel="0" collapsed="false">
      <c r="A80" s="10" t="s">
        <v>401</v>
      </c>
      <c r="B80" s="11" t="s">
        <v>402</v>
      </c>
      <c r="C80" s="10" t="s">
        <v>80</v>
      </c>
      <c r="D80" s="11" t="str">
        <f aca="false">VLOOKUP(C80,Families!$A:$B,2,FALSE())</f>
        <v>Specialty &amp; Novel</v>
      </c>
      <c r="E80" s="12" t="s">
        <v>50</v>
      </c>
      <c r="F80" s="11" t="s">
        <v>403</v>
      </c>
      <c r="G80" s="11" t="s">
        <v>404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42"/>
    <col collapsed="false" customWidth="true" hidden="false" outlineLevel="0" max="3" min="3" style="0" width="38"/>
    <col collapsed="false" customWidth="true" hidden="false" outlineLevel="0" max="4" min="4" style="0" width="14"/>
    <col collapsed="false" customWidth="true" hidden="false" outlineLevel="0" max="5" min="5" style="0" width="90"/>
  </cols>
  <sheetData>
    <row r="1" customFormat="false" ht="30" hidden="false" customHeight="true" outlineLevel="0" collapsed="false">
      <c r="A1" s="7" t="s">
        <v>405</v>
      </c>
      <c r="B1" s="7" t="s">
        <v>406</v>
      </c>
      <c r="C1" s="7" t="s">
        <v>407</v>
      </c>
      <c r="D1" s="7" t="s">
        <v>45</v>
      </c>
      <c r="E1" s="7" t="s">
        <v>88</v>
      </c>
    </row>
    <row r="2" customFormat="false" ht="36" hidden="false" customHeight="true" outlineLevel="0" collapsed="false">
      <c r="A2" s="10" t="s">
        <v>408</v>
      </c>
      <c r="B2" s="11" t="s">
        <v>409</v>
      </c>
      <c r="C2" s="11" t="s">
        <v>410</v>
      </c>
      <c r="D2" s="12" t="s">
        <v>50</v>
      </c>
      <c r="E2" s="11" t="s">
        <v>411</v>
      </c>
    </row>
    <row r="3" customFormat="false" ht="36" hidden="false" customHeight="true" outlineLevel="0" collapsed="false">
      <c r="A3" s="13" t="s">
        <v>412</v>
      </c>
      <c r="B3" s="9" t="s">
        <v>413</v>
      </c>
      <c r="C3" s="9" t="s">
        <v>410</v>
      </c>
      <c r="D3" s="12" t="s">
        <v>50</v>
      </c>
      <c r="E3" s="9" t="s">
        <v>414</v>
      </c>
    </row>
    <row r="4" customFormat="false" ht="36" hidden="false" customHeight="true" outlineLevel="0" collapsed="false">
      <c r="A4" s="10" t="s">
        <v>415</v>
      </c>
      <c r="B4" s="11" t="s">
        <v>416</v>
      </c>
      <c r="C4" s="11" t="s">
        <v>410</v>
      </c>
      <c r="D4" s="12" t="s">
        <v>50</v>
      </c>
      <c r="E4" s="11" t="s">
        <v>417</v>
      </c>
    </row>
    <row r="5" customFormat="false" ht="36" hidden="false" customHeight="true" outlineLevel="0" collapsed="false">
      <c r="A5" s="13" t="s">
        <v>418</v>
      </c>
      <c r="B5" s="9" t="s">
        <v>419</v>
      </c>
      <c r="C5" s="9" t="s">
        <v>410</v>
      </c>
      <c r="D5" s="12" t="s">
        <v>50</v>
      </c>
      <c r="E5" s="9" t="s">
        <v>420</v>
      </c>
    </row>
    <row r="6" customFormat="false" ht="36" hidden="false" customHeight="true" outlineLevel="0" collapsed="false">
      <c r="A6" s="10" t="s">
        <v>421</v>
      </c>
      <c r="B6" s="11" t="s">
        <v>422</v>
      </c>
      <c r="C6" s="11" t="s">
        <v>423</v>
      </c>
      <c r="D6" s="12" t="s">
        <v>50</v>
      </c>
      <c r="E6" s="11" t="s">
        <v>424</v>
      </c>
    </row>
    <row r="7" customFormat="false" ht="36" hidden="false" customHeight="true" outlineLevel="0" collapsed="false">
      <c r="A7" s="13" t="s">
        <v>425</v>
      </c>
      <c r="B7" s="9" t="s">
        <v>426</v>
      </c>
      <c r="C7" s="9" t="s">
        <v>423</v>
      </c>
      <c r="D7" s="12" t="s">
        <v>50</v>
      </c>
      <c r="E7" s="9" t="s">
        <v>427</v>
      </c>
    </row>
    <row r="8" customFormat="false" ht="36" hidden="false" customHeight="true" outlineLevel="0" collapsed="false">
      <c r="A8" s="10" t="s">
        <v>428</v>
      </c>
      <c r="B8" s="11" t="s">
        <v>429</v>
      </c>
      <c r="C8" s="11" t="s">
        <v>430</v>
      </c>
      <c r="D8" s="12" t="s">
        <v>50</v>
      </c>
      <c r="E8" s="11" t="s">
        <v>431</v>
      </c>
    </row>
    <row r="9" customFormat="false" ht="36" hidden="false" customHeight="true" outlineLevel="0" collapsed="false">
      <c r="A9" s="13" t="s">
        <v>432</v>
      </c>
      <c r="B9" s="9" t="s">
        <v>433</v>
      </c>
      <c r="C9" s="9" t="s">
        <v>423</v>
      </c>
      <c r="D9" s="12" t="s">
        <v>50</v>
      </c>
      <c r="E9" s="9" t="s">
        <v>434</v>
      </c>
    </row>
    <row r="10" customFormat="false" ht="36" hidden="false" customHeight="true" outlineLevel="0" collapsed="false">
      <c r="A10" s="10" t="s">
        <v>435</v>
      </c>
      <c r="B10" s="11" t="s">
        <v>436</v>
      </c>
      <c r="C10" s="11" t="s">
        <v>437</v>
      </c>
      <c r="D10" s="12" t="s">
        <v>50</v>
      </c>
      <c r="E10" s="11" t="s">
        <v>438</v>
      </c>
    </row>
    <row r="11" customFormat="false" ht="36" hidden="false" customHeight="true" outlineLevel="0" collapsed="false">
      <c r="A11" s="13" t="s">
        <v>439</v>
      </c>
      <c r="B11" s="9" t="s">
        <v>440</v>
      </c>
      <c r="C11" s="9" t="s">
        <v>441</v>
      </c>
      <c r="D11" s="12" t="s">
        <v>50</v>
      </c>
      <c r="E11" s="9" t="s">
        <v>442</v>
      </c>
    </row>
    <row r="12" customFormat="false" ht="36" hidden="false" customHeight="true" outlineLevel="0" collapsed="false">
      <c r="A12" s="10" t="s">
        <v>443</v>
      </c>
      <c r="B12" s="11" t="s">
        <v>444</v>
      </c>
      <c r="C12" s="11" t="s">
        <v>441</v>
      </c>
      <c r="D12" s="12" t="s">
        <v>50</v>
      </c>
      <c r="E12" s="11" t="s">
        <v>445</v>
      </c>
    </row>
    <row r="13" customFormat="false" ht="36" hidden="false" customHeight="true" outlineLevel="0" collapsed="false">
      <c r="A13" s="13" t="s">
        <v>446</v>
      </c>
      <c r="B13" s="9" t="s">
        <v>447</v>
      </c>
      <c r="C13" s="9" t="s">
        <v>448</v>
      </c>
      <c r="D13" s="12" t="s">
        <v>50</v>
      </c>
      <c r="E13" s="9" t="s">
        <v>449</v>
      </c>
    </row>
    <row r="14" customFormat="false" ht="36" hidden="false" customHeight="true" outlineLevel="0" collapsed="false">
      <c r="A14" s="10" t="s">
        <v>450</v>
      </c>
      <c r="B14" s="11" t="s">
        <v>451</v>
      </c>
      <c r="C14" s="11" t="s">
        <v>441</v>
      </c>
      <c r="D14" s="12" t="s">
        <v>50</v>
      </c>
      <c r="E14" s="11" t="s">
        <v>452</v>
      </c>
    </row>
    <row r="15" customFormat="false" ht="36" hidden="false" customHeight="true" outlineLevel="0" collapsed="false">
      <c r="A15" s="13" t="s">
        <v>453</v>
      </c>
      <c r="B15" s="9" t="s">
        <v>454</v>
      </c>
      <c r="C15" s="9" t="s">
        <v>455</v>
      </c>
      <c r="D15" s="12" t="s">
        <v>50</v>
      </c>
      <c r="E15" s="9" t="s">
        <v>384</v>
      </c>
    </row>
    <row r="16" customFormat="false" ht="36" hidden="false" customHeight="true" outlineLevel="0" collapsed="false">
      <c r="A16" s="10" t="s">
        <v>456</v>
      </c>
      <c r="B16" s="11" t="s">
        <v>457</v>
      </c>
      <c r="C16" s="11" t="s">
        <v>441</v>
      </c>
      <c r="D16" s="12" t="s">
        <v>50</v>
      </c>
      <c r="E16" s="11" t="s">
        <v>458</v>
      </c>
    </row>
    <row r="17" customFormat="false" ht="36" hidden="false" customHeight="true" outlineLevel="0" collapsed="false">
      <c r="A17" s="13" t="s">
        <v>459</v>
      </c>
      <c r="B17" s="9" t="s">
        <v>460</v>
      </c>
      <c r="C17" s="9" t="s">
        <v>461</v>
      </c>
      <c r="D17" s="12" t="s">
        <v>50</v>
      </c>
      <c r="E17" s="9" t="s">
        <v>462</v>
      </c>
    </row>
    <row r="18" customFormat="false" ht="36" hidden="false" customHeight="true" outlineLevel="0" collapsed="false">
      <c r="A18" s="10" t="s">
        <v>463</v>
      </c>
      <c r="B18" s="11" t="s">
        <v>464</v>
      </c>
      <c r="C18" s="11" t="s">
        <v>461</v>
      </c>
      <c r="D18" s="12" t="s">
        <v>50</v>
      </c>
      <c r="E18" s="11" t="s">
        <v>465</v>
      </c>
    </row>
    <row r="19" customFormat="false" ht="36" hidden="false" customHeight="true" outlineLevel="0" collapsed="false">
      <c r="A19" s="13" t="s">
        <v>466</v>
      </c>
      <c r="B19" s="9" t="s">
        <v>467</v>
      </c>
      <c r="C19" s="9" t="s">
        <v>461</v>
      </c>
      <c r="D19" s="12" t="s">
        <v>50</v>
      </c>
      <c r="E19" s="9" t="s">
        <v>468</v>
      </c>
    </row>
    <row r="20" customFormat="false" ht="36" hidden="false" customHeight="true" outlineLevel="0" collapsed="false">
      <c r="A20" s="10" t="s">
        <v>469</v>
      </c>
      <c r="B20" s="11" t="s">
        <v>470</v>
      </c>
      <c r="C20" s="11" t="s">
        <v>461</v>
      </c>
      <c r="D20" s="12" t="s">
        <v>50</v>
      </c>
      <c r="E20" s="11" t="s">
        <v>471</v>
      </c>
    </row>
    <row r="21" customFormat="false" ht="36" hidden="false" customHeight="true" outlineLevel="0" collapsed="false">
      <c r="A21" s="13" t="s">
        <v>472</v>
      </c>
      <c r="B21" s="9" t="s">
        <v>473</v>
      </c>
      <c r="C21" s="9" t="s">
        <v>474</v>
      </c>
      <c r="D21" s="12" t="s">
        <v>50</v>
      </c>
      <c r="E21" s="9" t="s">
        <v>475</v>
      </c>
    </row>
    <row r="22" customFormat="false" ht="36" hidden="false" customHeight="true" outlineLevel="0" collapsed="false">
      <c r="A22" s="10" t="s">
        <v>476</v>
      </c>
      <c r="B22" s="11" t="s">
        <v>477</v>
      </c>
      <c r="C22" s="11" t="s">
        <v>478</v>
      </c>
      <c r="D22" s="12" t="s">
        <v>50</v>
      </c>
      <c r="E22" s="11" t="s">
        <v>479</v>
      </c>
    </row>
    <row r="23" customFormat="false" ht="36" hidden="false" customHeight="true" outlineLevel="0" collapsed="false">
      <c r="A23" s="13" t="s">
        <v>480</v>
      </c>
      <c r="B23" s="9" t="s">
        <v>481</v>
      </c>
      <c r="C23" s="9" t="s">
        <v>482</v>
      </c>
      <c r="D23" s="12" t="s">
        <v>50</v>
      </c>
      <c r="E23" s="9" t="s">
        <v>483</v>
      </c>
    </row>
    <row r="24" customFormat="false" ht="36" hidden="false" customHeight="true" outlineLevel="0" collapsed="false">
      <c r="A24" s="10" t="s">
        <v>484</v>
      </c>
      <c r="B24" s="11" t="s">
        <v>485</v>
      </c>
      <c r="C24" s="11" t="s">
        <v>474</v>
      </c>
      <c r="D24" s="12" t="s">
        <v>50</v>
      </c>
      <c r="E24" s="11" t="s">
        <v>475</v>
      </c>
    </row>
    <row r="25" customFormat="false" ht="36" hidden="false" customHeight="true" outlineLevel="0" collapsed="false">
      <c r="A25" s="13" t="s">
        <v>486</v>
      </c>
      <c r="B25" s="9" t="s">
        <v>487</v>
      </c>
      <c r="C25" s="9" t="s">
        <v>488</v>
      </c>
      <c r="D25" s="12" t="s">
        <v>50</v>
      </c>
      <c r="E25" s="9" t="s">
        <v>489</v>
      </c>
    </row>
    <row r="26" customFormat="false" ht="36" hidden="false" customHeight="true" outlineLevel="0" collapsed="false">
      <c r="A26" s="10" t="s">
        <v>490</v>
      </c>
      <c r="B26" s="11" t="s">
        <v>491</v>
      </c>
      <c r="C26" s="11" t="s">
        <v>488</v>
      </c>
      <c r="D26" s="12" t="s">
        <v>50</v>
      </c>
      <c r="E26" s="11" t="s">
        <v>492</v>
      </c>
    </row>
    <row r="27" customFormat="false" ht="36" hidden="false" customHeight="true" outlineLevel="0" collapsed="false">
      <c r="A27" s="13" t="s">
        <v>493</v>
      </c>
      <c r="B27" s="9" t="s">
        <v>494</v>
      </c>
      <c r="C27" s="9" t="s">
        <v>495</v>
      </c>
      <c r="D27" s="12" t="s">
        <v>50</v>
      </c>
      <c r="E27" s="9" t="s">
        <v>496</v>
      </c>
    </row>
    <row r="28" customFormat="false" ht="36" hidden="false" customHeight="true" outlineLevel="0" collapsed="false">
      <c r="A28" s="10" t="s">
        <v>497</v>
      </c>
      <c r="B28" s="11" t="s">
        <v>498</v>
      </c>
      <c r="C28" s="11" t="s">
        <v>499</v>
      </c>
      <c r="D28" s="12" t="s">
        <v>50</v>
      </c>
      <c r="E28" s="11" t="s">
        <v>500</v>
      </c>
    </row>
    <row r="29" customFormat="false" ht="36" hidden="false" customHeight="true" outlineLevel="0" collapsed="false">
      <c r="A29" s="13" t="s">
        <v>501</v>
      </c>
      <c r="B29" s="9" t="s">
        <v>502</v>
      </c>
      <c r="C29" s="9" t="s">
        <v>503</v>
      </c>
      <c r="D29" s="12" t="s">
        <v>50</v>
      </c>
      <c r="E29" s="9" t="s">
        <v>504</v>
      </c>
    </row>
    <row r="30" customFormat="false" ht="36" hidden="false" customHeight="true" outlineLevel="0" collapsed="false">
      <c r="A30" s="10" t="s">
        <v>505</v>
      </c>
      <c r="B30" s="11" t="s">
        <v>506</v>
      </c>
      <c r="C30" s="11" t="s">
        <v>507</v>
      </c>
      <c r="D30" s="12" t="s">
        <v>50</v>
      </c>
      <c r="E30" s="11" t="s">
        <v>508</v>
      </c>
    </row>
    <row r="31" customFormat="false" ht="36" hidden="false" customHeight="true" outlineLevel="0" collapsed="false">
      <c r="A31" s="13" t="s">
        <v>509</v>
      </c>
      <c r="B31" s="9" t="s">
        <v>510</v>
      </c>
      <c r="C31" s="9" t="s">
        <v>511</v>
      </c>
      <c r="D31" s="12" t="s">
        <v>50</v>
      </c>
      <c r="E31" s="9" t="s">
        <v>512</v>
      </c>
    </row>
    <row r="32" customFormat="false" ht="36" hidden="false" customHeight="true" outlineLevel="0" collapsed="false">
      <c r="A32" s="10" t="s">
        <v>513</v>
      </c>
      <c r="B32" s="11" t="s">
        <v>514</v>
      </c>
      <c r="C32" s="11" t="s">
        <v>515</v>
      </c>
      <c r="D32" s="12" t="s">
        <v>50</v>
      </c>
      <c r="E32" s="11" t="s">
        <v>516</v>
      </c>
    </row>
    <row r="33" customFormat="false" ht="36" hidden="false" customHeight="true" outlineLevel="0" collapsed="false">
      <c r="A33" s="13" t="s">
        <v>517</v>
      </c>
      <c r="B33" s="9" t="s">
        <v>518</v>
      </c>
      <c r="C33" s="9" t="s">
        <v>519</v>
      </c>
      <c r="D33" s="12" t="s">
        <v>50</v>
      </c>
      <c r="E33" s="9" t="s">
        <v>520</v>
      </c>
    </row>
    <row r="34" customFormat="false" ht="36" hidden="false" customHeight="true" outlineLevel="0" collapsed="false">
      <c r="A34" s="10" t="s">
        <v>521</v>
      </c>
      <c r="B34" s="11" t="s">
        <v>522</v>
      </c>
      <c r="C34" s="11" t="s">
        <v>519</v>
      </c>
      <c r="D34" s="12" t="s">
        <v>50</v>
      </c>
      <c r="E34" s="11" t="s">
        <v>523</v>
      </c>
    </row>
    <row r="35" customFormat="false" ht="36" hidden="false" customHeight="true" outlineLevel="0" collapsed="false">
      <c r="A35" s="13" t="s">
        <v>524</v>
      </c>
      <c r="B35" s="9" t="s">
        <v>525</v>
      </c>
      <c r="C35" s="9" t="s">
        <v>526</v>
      </c>
      <c r="D35" s="12" t="s">
        <v>50</v>
      </c>
      <c r="E35" s="9" t="s">
        <v>527</v>
      </c>
    </row>
    <row r="36" customFormat="false" ht="36" hidden="false" customHeight="true" outlineLevel="0" collapsed="false">
      <c r="A36" s="10" t="s">
        <v>528</v>
      </c>
      <c r="B36" s="11" t="s">
        <v>529</v>
      </c>
      <c r="C36" s="11" t="s">
        <v>530</v>
      </c>
      <c r="D36" s="12" t="s">
        <v>50</v>
      </c>
      <c r="E36" s="11" t="s">
        <v>531</v>
      </c>
    </row>
    <row r="37" customFormat="false" ht="36" hidden="false" customHeight="true" outlineLevel="0" collapsed="false">
      <c r="A37" s="13" t="s">
        <v>532</v>
      </c>
      <c r="B37" s="9" t="s">
        <v>533</v>
      </c>
      <c r="C37" s="9" t="s">
        <v>530</v>
      </c>
      <c r="D37" s="12" t="s">
        <v>50</v>
      </c>
      <c r="E37" s="9" t="s">
        <v>534</v>
      </c>
    </row>
    <row r="38" customFormat="false" ht="36" hidden="false" customHeight="true" outlineLevel="0" collapsed="false">
      <c r="A38" s="10" t="s">
        <v>535</v>
      </c>
      <c r="B38" s="11" t="s">
        <v>536</v>
      </c>
      <c r="C38" s="11" t="s">
        <v>537</v>
      </c>
      <c r="D38" s="12" t="s">
        <v>50</v>
      </c>
      <c r="E38" s="11" t="s">
        <v>538</v>
      </c>
    </row>
    <row r="39" customFormat="false" ht="36" hidden="false" customHeight="true" outlineLevel="0" collapsed="false">
      <c r="A39" s="13" t="s">
        <v>539</v>
      </c>
      <c r="B39" s="9" t="s">
        <v>540</v>
      </c>
      <c r="C39" s="9" t="s">
        <v>541</v>
      </c>
      <c r="D39" s="12" t="s">
        <v>50</v>
      </c>
      <c r="E39" s="9" t="s">
        <v>542</v>
      </c>
    </row>
    <row r="40" customFormat="false" ht="36" hidden="false" customHeight="true" outlineLevel="0" collapsed="false">
      <c r="A40" s="10" t="s">
        <v>543</v>
      </c>
      <c r="B40" s="11" t="s">
        <v>544</v>
      </c>
      <c r="C40" s="11" t="s">
        <v>541</v>
      </c>
      <c r="D40" s="12" t="s">
        <v>50</v>
      </c>
      <c r="E40" s="11" t="s">
        <v>545</v>
      </c>
    </row>
    <row r="41" customFormat="false" ht="36" hidden="false" customHeight="true" outlineLevel="0" collapsed="false">
      <c r="A41" s="13" t="s">
        <v>546</v>
      </c>
      <c r="B41" s="9" t="s">
        <v>547</v>
      </c>
      <c r="C41" s="9" t="s">
        <v>541</v>
      </c>
      <c r="D41" s="12" t="s">
        <v>50</v>
      </c>
      <c r="E41" s="9" t="s">
        <v>545</v>
      </c>
    </row>
    <row r="42" customFormat="false" ht="36" hidden="false" customHeight="true" outlineLevel="0" collapsed="false">
      <c r="A42" s="10" t="s">
        <v>548</v>
      </c>
      <c r="B42" s="11" t="s">
        <v>549</v>
      </c>
      <c r="C42" s="11" t="s">
        <v>318</v>
      </c>
      <c r="D42" s="12" t="s">
        <v>50</v>
      </c>
      <c r="E42" s="11" t="s">
        <v>550</v>
      </c>
    </row>
    <row r="43" customFormat="false" ht="36" hidden="false" customHeight="true" outlineLevel="0" collapsed="false">
      <c r="A43" s="13" t="s">
        <v>551</v>
      </c>
      <c r="B43" s="9" t="s">
        <v>552</v>
      </c>
      <c r="C43" s="9" t="s">
        <v>318</v>
      </c>
      <c r="D43" s="12" t="s">
        <v>50</v>
      </c>
      <c r="E43" s="9" t="s">
        <v>553</v>
      </c>
    </row>
    <row r="44" customFormat="false" ht="36" hidden="false" customHeight="true" outlineLevel="0" collapsed="false">
      <c r="A44" s="10" t="s">
        <v>554</v>
      </c>
      <c r="B44" s="11" t="s">
        <v>555</v>
      </c>
      <c r="C44" s="11" t="s">
        <v>556</v>
      </c>
      <c r="D44" s="12" t="s">
        <v>50</v>
      </c>
      <c r="E44" s="11" t="s">
        <v>557</v>
      </c>
    </row>
    <row r="45" customFormat="false" ht="36" hidden="false" customHeight="true" outlineLevel="0" collapsed="false">
      <c r="A45" s="13" t="s">
        <v>558</v>
      </c>
      <c r="B45" s="9" t="s">
        <v>559</v>
      </c>
      <c r="C45" s="9" t="s">
        <v>560</v>
      </c>
      <c r="D45" s="12" t="s">
        <v>50</v>
      </c>
      <c r="E45" s="9" t="s">
        <v>561</v>
      </c>
    </row>
    <row r="46" customFormat="false" ht="36" hidden="false" customHeight="true" outlineLevel="0" collapsed="false">
      <c r="A46" s="10" t="s">
        <v>562</v>
      </c>
      <c r="B46" s="11" t="s">
        <v>563</v>
      </c>
      <c r="C46" s="11" t="s">
        <v>560</v>
      </c>
      <c r="D46" s="12" t="s">
        <v>50</v>
      </c>
      <c r="E46" s="11" t="s">
        <v>561</v>
      </c>
    </row>
    <row r="47" customFormat="false" ht="36" hidden="false" customHeight="true" outlineLevel="0" collapsed="false">
      <c r="A47" s="13" t="s">
        <v>564</v>
      </c>
      <c r="B47" s="9" t="s">
        <v>565</v>
      </c>
      <c r="C47" s="9" t="s">
        <v>560</v>
      </c>
      <c r="D47" s="12" t="s">
        <v>50</v>
      </c>
      <c r="E47" s="9" t="s">
        <v>566</v>
      </c>
    </row>
    <row r="48" customFormat="false" ht="36" hidden="false" customHeight="true" outlineLevel="0" collapsed="false">
      <c r="A48" s="10" t="s">
        <v>567</v>
      </c>
      <c r="B48" s="11" t="s">
        <v>568</v>
      </c>
      <c r="C48" s="11" t="s">
        <v>560</v>
      </c>
      <c r="D48" s="12" t="s">
        <v>50</v>
      </c>
      <c r="E48" s="11" t="s">
        <v>566</v>
      </c>
    </row>
    <row r="49" customFormat="false" ht="36" hidden="false" customHeight="true" outlineLevel="0" collapsed="false">
      <c r="A49" s="14" t="s">
        <v>569</v>
      </c>
      <c r="B49" s="15" t="s">
        <v>570</v>
      </c>
      <c r="C49" s="16" t="s">
        <v>448</v>
      </c>
      <c r="D49" s="17" t="s">
        <v>50</v>
      </c>
      <c r="E49" s="16" t="s">
        <v>571</v>
      </c>
    </row>
    <row r="50" customFormat="false" ht="36" hidden="false" customHeight="true" outlineLevel="0" collapsed="false">
      <c r="A50" s="14" t="s">
        <v>572</v>
      </c>
      <c r="B50" s="15" t="s">
        <v>573</v>
      </c>
      <c r="C50" s="16" t="s">
        <v>574</v>
      </c>
      <c r="D50" s="17" t="s">
        <v>50</v>
      </c>
      <c r="E50" s="16" t="s">
        <v>575</v>
      </c>
    </row>
    <row r="51" customFormat="false" ht="36" hidden="false" customHeight="true" outlineLevel="0" collapsed="false">
      <c r="A51" s="14" t="s">
        <v>576</v>
      </c>
      <c r="B51" s="15" t="s">
        <v>577</v>
      </c>
      <c r="C51" s="16" t="s">
        <v>578</v>
      </c>
      <c r="D51" s="17" t="s">
        <v>50</v>
      </c>
      <c r="E51" s="16" t="s">
        <v>579</v>
      </c>
    </row>
    <row r="52" customFormat="false" ht="36" hidden="false" customHeight="true" outlineLevel="0" collapsed="false">
      <c r="A52" s="14" t="s">
        <v>580</v>
      </c>
      <c r="B52" s="15" t="s">
        <v>581</v>
      </c>
      <c r="C52" s="16" t="s">
        <v>582</v>
      </c>
      <c r="D52" s="17" t="s">
        <v>50</v>
      </c>
      <c r="E52" s="16" t="s">
        <v>583</v>
      </c>
    </row>
    <row r="53" customFormat="false" ht="36" hidden="false" customHeight="true" outlineLevel="0" collapsed="false">
      <c r="A53" s="14" t="s">
        <v>584</v>
      </c>
      <c r="B53" s="15" t="s">
        <v>585</v>
      </c>
      <c r="C53" s="16" t="s">
        <v>582</v>
      </c>
      <c r="D53" s="17" t="s">
        <v>50</v>
      </c>
      <c r="E53" s="16" t="s">
        <v>586</v>
      </c>
    </row>
    <row r="54" customFormat="false" ht="36" hidden="false" customHeight="true" outlineLevel="0" collapsed="false">
      <c r="A54" s="14" t="s">
        <v>587</v>
      </c>
      <c r="B54" s="15" t="s">
        <v>588</v>
      </c>
      <c r="C54" s="16" t="s">
        <v>589</v>
      </c>
      <c r="D54" s="17" t="s">
        <v>50</v>
      </c>
      <c r="E54" s="16" t="s">
        <v>590</v>
      </c>
    </row>
    <row r="55" customFormat="false" ht="36" hidden="false" customHeight="true" outlineLevel="0" collapsed="false">
      <c r="A55" s="14" t="s">
        <v>591</v>
      </c>
      <c r="B55" s="15" t="s">
        <v>592</v>
      </c>
      <c r="C55" s="16" t="s">
        <v>593</v>
      </c>
      <c r="D55" s="17" t="s">
        <v>50</v>
      </c>
      <c r="E55" s="16" t="s">
        <v>594</v>
      </c>
    </row>
    <row r="56" customFormat="false" ht="36" hidden="false" customHeight="true" outlineLevel="0" collapsed="false">
      <c r="A56" s="14" t="s">
        <v>595</v>
      </c>
      <c r="B56" s="15" t="s">
        <v>596</v>
      </c>
      <c r="C56" s="16" t="s">
        <v>597</v>
      </c>
      <c r="D56" s="17" t="s">
        <v>50</v>
      </c>
      <c r="E56" s="16" t="s">
        <v>598</v>
      </c>
    </row>
    <row r="57" customFormat="false" ht="36" hidden="false" customHeight="true" outlineLevel="0" collapsed="false">
      <c r="A57" s="14" t="s">
        <v>599</v>
      </c>
      <c r="B57" s="15" t="s">
        <v>600</v>
      </c>
      <c r="C57" s="16" t="s">
        <v>601</v>
      </c>
      <c r="D57" s="17" t="s">
        <v>50</v>
      </c>
      <c r="E57" s="16" t="s">
        <v>602</v>
      </c>
    </row>
    <row r="58" customFormat="false" ht="36" hidden="false" customHeight="true" outlineLevel="0" collapsed="false">
      <c r="A58" s="14" t="s">
        <v>603</v>
      </c>
      <c r="B58" s="15" t="s">
        <v>604</v>
      </c>
      <c r="C58" s="16" t="s">
        <v>448</v>
      </c>
      <c r="D58" s="17" t="s">
        <v>50</v>
      </c>
      <c r="E58" s="16" t="s">
        <v>605</v>
      </c>
    </row>
    <row r="59" customFormat="false" ht="36" hidden="false" customHeight="true" outlineLevel="0" collapsed="false">
      <c r="A59" s="14" t="s">
        <v>606</v>
      </c>
      <c r="B59" s="15" t="s">
        <v>607</v>
      </c>
      <c r="C59" s="16" t="s">
        <v>448</v>
      </c>
      <c r="D59" s="17" t="s">
        <v>50</v>
      </c>
      <c r="E59" s="16" t="s">
        <v>608</v>
      </c>
    </row>
    <row r="60" customFormat="false" ht="36" hidden="false" customHeight="true" outlineLevel="0" collapsed="false">
      <c r="A60" s="14" t="s">
        <v>609</v>
      </c>
      <c r="B60" s="15" t="s">
        <v>610</v>
      </c>
      <c r="C60" s="16" t="s">
        <v>448</v>
      </c>
      <c r="D60" s="17" t="s">
        <v>50</v>
      </c>
      <c r="E60" s="16" t="s">
        <v>611</v>
      </c>
    </row>
    <row r="61" customFormat="false" ht="36" hidden="false" customHeight="true" outlineLevel="0" collapsed="false">
      <c r="A61" s="14" t="s">
        <v>612</v>
      </c>
      <c r="B61" s="15" t="s">
        <v>613</v>
      </c>
      <c r="C61" s="16" t="s">
        <v>614</v>
      </c>
      <c r="D61" s="17" t="s">
        <v>50</v>
      </c>
      <c r="E61" s="16" t="s">
        <v>615</v>
      </c>
    </row>
    <row r="62" customFormat="false" ht="36" hidden="false" customHeight="true" outlineLevel="0" collapsed="false">
      <c r="A62" s="14" t="s">
        <v>616</v>
      </c>
      <c r="B62" s="15" t="s">
        <v>617</v>
      </c>
      <c r="C62" s="16" t="s">
        <v>350</v>
      </c>
      <c r="D62" s="17" t="s">
        <v>50</v>
      </c>
      <c r="E62" s="16" t="s">
        <v>618</v>
      </c>
    </row>
    <row r="63" customFormat="false" ht="36" hidden="false" customHeight="true" outlineLevel="0" collapsed="false">
      <c r="A63" s="14" t="s">
        <v>619</v>
      </c>
      <c r="B63" s="15" t="s">
        <v>620</v>
      </c>
      <c r="C63" s="16" t="s">
        <v>621</v>
      </c>
      <c r="D63" s="17" t="s">
        <v>50</v>
      </c>
      <c r="E63" s="16" t="s">
        <v>622</v>
      </c>
    </row>
    <row r="64" customFormat="false" ht="36" hidden="false" customHeight="true" outlineLevel="0" collapsed="false">
      <c r="A64" s="14" t="s">
        <v>623</v>
      </c>
      <c r="B64" s="15" t="s">
        <v>624</v>
      </c>
      <c r="C64" s="16" t="s">
        <v>625</v>
      </c>
      <c r="D64" s="17" t="s">
        <v>50</v>
      </c>
      <c r="E64" s="16" t="s">
        <v>626</v>
      </c>
    </row>
    <row r="65" customFormat="false" ht="36" hidden="false" customHeight="true" outlineLevel="0" collapsed="false">
      <c r="A65" s="18" t="s">
        <v>627</v>
      </c>
      <c r="B65" s="19" t="s">
        <v>628</v>
      </c>
      <c r="C65" s="20" t="s">
        <v>629</v>
      </c>
      <c r="D65" s="17" t="s">
        <v>50</v>
      </c>
      <c r="E65" s="20" t="s">
        <v>630</v>
      </c>
    </row>
    <row r="66" customFormat="false" ht="36" hidden="false" customHeight="true" outlineLevel="0" collapsed="false">
      <c r="A66" s="14" t="s">
        <v>631</v>
      </c>
      <c r="B66" s="15" t="s">
        <v>632</v>
      </c>
      <c r="C66" s="16" t="s">
        <v>633</v>
      </c>
      <c r="D66" s="17" t="s">
        <v>50</v>
      </c>
      <c r="E66" s="16" t="s">
        <v>634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14"/>
    <col collapsed="false" customWidth="true" hidden="false" outlineLevel="0" max="4" min="4" style="0" width="80"/>
  </cols>
  <sheetData>
    <row r="1" customFormat="false" ht="30" hidden="false" customHeight="true" outlineLevel="0" collapsed="false">
      <c r="A1" s="7" t="s">
        <v>635</v>
      </c>
      <c r="B1" s="7" t="s">
        <v>636</v>
      </c>
      <c r="C1" s="7" t="s">
        <v>637</v>
      </c>
      <c r="D1" s="7" t="s">
        <v>46</v>
      </c>
    </row>
    <row r="2" customFormat="false" ht="31.5" hidden="false" customHeight="true" outlineLevel="0" collapsed="false">
      <c r="A2" s="10" t="s">
        <v>638</v>
      </c>
      <c r="B2" s="11" t="s">
        <v>639</v>
      </c>
      <c r="C2" s="21" t="s">
        <v>640</v>
      </c>
      <c r="D2" s="11" t="s">
        <v>641</v>
      </c>
    </row>
    <row r="3" customFormat="false" ht="31.5" hidden="false" customHeight="true" outlineLevel="0" collapsed="false">
      <c r="A3" s="13" t="s">
        <v>642</v>
      </c>
      <c r="B3" s="9" t="s">
        <v>643</v>
      </c>
      <c r="C3" s="21" t="s">
        <v>640</v>
      </c>
      <c r="D3" s="9" t="s">
        <v>644</v>
      </c>
    </row>
    <row r="4" customFormat="false" ht="31.5" hidden="false" customHeight="true" outlineLevel="0" collapsed="false">
      <c r="A4" s="10" t="s">
        <v>645</v>
      </c>
      <c r="B4" s="11" t="s">
        <v>646</v>
      </c>
      <c r="C4" s="21" t="s">
        <v>640</v>
      </c>
      <c r="D4" s="11" t="s">
        <v>647</v>
      </c>
    </row>
    <row r="5" customFormat="false" ht="31.5" hidden="false" customHeight="true" outlineLevel="0" collapsed="false">
      <c r="A5" s="13" t="s">
        <v>648</v>
      </c>
      <c r="B5" s="9" t="s">
        <v>649</v>
      </c>
      <c r="C5" s="21" t="s">
        <v>640</v>
      </c>
      <c r="D5" s="9" t="s">
        <v>650</v>
      </c>
    </row>
    <row r="6" customFormat="false" ht="31.5" hidden="false" customHeight="true" outlineLevel="0" collapsed="false">
      <c r="A6" s="10" t="s">
        <v>651</v>
      </c>
      <c r="B6" s="11" t="s">
        <v>652</v>
      </c>
      <c r="C6" s="21" t="s">
        <v>640</v>
      </c>
      <c r="D6" s="11" t="s">
        <v>653</v>
      </c>
    </row>
    <row r="7" customFormat="false" ht="31.5" hidden="false" customHeight="true" outlineLevel="0" collapsed="false">
      <c r="A7" s="13" t="s">
        <v>654</v>
      </c>
      <c r="B7" s="9" t="s">
        <v>655</v>
      </c>
      <c r="C7" s="21" t="s">
        <v>640</v>
      </c>
      <c r="D7" s="9" t="s">
        <v>656</v>
      </c>
    </row>
    <row r="8" customFormat="false" ht="31.5" hidden="false" customHeight="true" outlineLevel="0" collapsed="false">
      <c r="A8" s="10" t="s">
        <v>657</v>
      </c>
      <c r="B8" s="11" t="s">
        <v>658</v>
      </c>
      <c r="C8" s="21" t="s">
        <v>640</v>
      </c>
      <c r="D8" s="11" t="s">
        <v>659</v>
      </c>
    </row>
    <row r="9" customFormat="false" ht="31.5" hidden="false" customHeight="true" outlineLevel="0" collapsed="false">
      <c r="A9" s="13" t="s">
        <v>660</v>
      </c>
      <c r="B9" s="9" t="s">
        <v>661</v>
      </c>
      <c r="C9" s="21" t="s">
        <v>640</v>
      </c>
      <c r="D9" s="9" t="s">
        <v>662</v>
      </c>
    </row>
    <row r="10" customFormat="false" ht="31.5" hidden="false" customHeight="true" outlineLevel="0" collapsed="false">
      <c r="A10" s="10" t="s">
        <v>663</v>
      </c>
      <c r="B10" s="11" t="s">
        <v>664</v>
      </c>
      <c r="C10" s="21" t="s">
        <v>640</v>
      </c>
      <c r="D10" s="11" t="s">
        <v>665</v>
      </c>
    </row>
    <row r="11" customFormat="false" ht="31.5" hidden="false" customHeight="true" outlineLevel="0" collapsed="false">
      <c r="A11" s="13" t="s">
        <v>666</v>
      </c>
      <c r="B11" s="9" t="s">
        <v>667</v>
      </c>
      <c r="C11" s="21" t="s">
        <v>640</v>
      </c>
      <c r="D11" s="9" t="s">
        <v>668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42"/>
    <col collapsed="false" customWidth="true" hidden="false" outlineLevel="0" max="3" min="3" style="0" width="30"/>
    <col collapsed="false" customWidth="true" hidden="false" outlineLevel="0" max="4" min="4" style="0" width="16"/>
    <col collapsed="false" customWidth="true" hidden="false" outlineLevel="0" max="5" min="5" style="0" width="24"/>
    <col collapsed="false" customWidth="true" hidden="false" outlineLevel="0" max="6" min="6" style="0" width="22"/>
  </cols>
  <sheetData>
    <row r="1" customFormat="false" ht="30" hidden="false" customHeight="true" outlineLevel="0" collapsed="false">
      <c r="A1" s="22" t="s">
        <v>669</v>
      </c>
      <c r="B1" s="22"/>
      <c r="C1" s="22"/>
      <c r="D1" s="22"/>
      <c r="E1" s="22"/>
      <c r="F1" s="22"/>
    </row>
    <row r="2" customFormat="false" ht="21.75" hidden="false" customHeight="true" outlineLevel="0" collapsed="false">
      <c r="A2" s="23" t="s">
        <v>670</v>
      </c>
      <c r="B2" s="23"/>
      <c r="C2" s="23"/>
      <c r="D2" s="23"/>
      <c r="E2" s="23"/>
      <c r="F2" s="23"/>
    </row>
    <row r="3" customFormat="false" ht="30" hidden="false" customHeight="true" outlineLevel="0" collapsed="false">
      <c r="A3" s="24" t="s">
        <v>83</v>
      </c>
      <c r="B3" s="24" t="s">
        <v>671</v>
      </c>
      <c r="C3" s="24" t="s">
        <v>85</v>
      </c>
      <c r="D3" s="24" t="s">
        <v>672</v>
      </c>
      <c r="E3" s="24" t="s">
        <v>673</v>
      </c>
      <c r="F3" s="24" t="s">
        <v>674</v>
      </c>
    </row>
    <row r="4" customFormat="false" ht="24" hidden="false" customHeight="true" outlineLevel="0" collapsed="false">
      <c r="A4" s="13" t="s">
        <v>89</v>
      </c>
      <c r="B4" s="9" t="s">
        <v>90</v>
      </c>
      <c r="C4" s="9" t="s">
        <v>48</v>
      </c>
      <c r="D4" s="25" t="s">
        <v>675</v>
      </c>
      <c r="E4" s="12" t="s">
        <v>49</v>
      </c>
      <c r="F4" s="13" t="s">
        <v>676</v>
      </c>
    </row>
    <row r="5" customFormat="false" ht="24" hidden="false" customHeight="true" outlineLevel="0" collapsed="false">
      <c r="A5" s="13" t="s">
        <v>93</v>
      </c>
      <c r="B5" s="9" t="s">
        <v>94</v>
      </c>
      <c r="C5" s="9" t="s">
        <v>48</v>
      </c>
      <c r="D5" s="25" t="s">
        <v>675</v>
      </c>
      <c r="E5" s="12" t="s">
        <v>49</v>
      </c>
      <c r="F5" s="13" t="s">
        <v>676</v>
      </c>
    </row>
    <row r="6" customFormat="false" ht="24" hidden="false" customHeight="true" outlineLevel="0" collapsed="false">
      <c r="A6" s="13" t="s">
        <v>97</v>
      </c>
      <c r="B6" s="9" t="s">
        <v>98</v>
      </c>
      <c r="C6" s="9" t="s">
        <v>48</v>
      </c>
      <c r="D6" s="25" t="s">
        <v>675</v>
      </c>
      <c r="E6" s="12" t="s">
        <v>49</v>
      </c>
      <c r="F6" s="13" t="s">
        <v>676</v>
      </c>
    </row>
    <row r="7" customFormat="false" ht="24" hidden="false" customHeight="true" outlineLevel="0" collapsed="false">
      <c r="A7" s="13" t="s">
        <v>101</v>
      </c>
      <c r="B7" s="9" t="s">
        <v>102</v>
      </c>
      <c r="C7" s="9" t="s">
        <v>48</v>
      </c>
      <c r="D7" s="25" t="s">
        <v>675</v>
      </c>
      <c r="E7" s="12" t="s">
        <v>49</v>
      </c>
      <c r="F7" s="13" t="s">
        <v>676</v>
      </c>
    </row>
    <row r="8" customFormat="false" ht="24" hidden="false" customHeight="true" outlineLevel="0" collapsed="false">
      <c r="A8" s="13" t="s">
        <v>105</v>
      </c>
      <c r="B8" s="9" t="s">
        <v>106</v>
      </c>
      <c r="C8" s="9" t="s">
        <v>48</v>
      </c>
      <c r="D8" s="25" t="s">
        <v>675</v>
      </c>
      <c r="E8" s="12" t="s">
        <v>49</v>
      </c>
      <c r="F8" s="13" t="s">
        <v>676</v>
      </c>
    </row>
    <row r="9" customFormat="false" ht="24" hidden="false" customHeight="true" outlineLevel="0" collapsed="false">
      <c r="A9" s="13" t="s">
        <v>109</v>
      </c>
      <c r="B9" s="9" t="s">
        <v>110</v>
      </c>
      <c r="C9" s="9" t="s">
        <v>48</v>
      </c>
      <c r="D9" s="25" t="s">
        <v>675</v>
      </c>
      <c r="E9" s="12" t="s">
        <v>49</v>
      </c>
      <c r="F9" s="13" t="s">
        <v>676</v>
      </c>
    </row>
    <row r="10" customFormat="false" ht="24" hidden="false" customHeight="true" outlineLevel="0" collapsed="false">
      <c r="A10" s="13" t="s">
        <v>113</v>
      </c>
      <c r="B10" s="9" t="s">
        <v>114</v>
      </c>
      <c r="C10" s="9" t="s">
        <v>48</v>
      </c>
      <c r="D10" s="25" t="s">
        <v>675</v>
      </c>
      <c r="E10" s="12" t="s">
        <v>49</v>
      </c>
      <c r="F10" s="13" t="s">
        <v>676</v>
      </c>
    </row>
    <row r="11" customFormat="false" ht="24" hidden="false" customHeight="true" outlineLevel="0" collapsed="false">
      <c r="A11" s="13" t="s">
        <v>117</v>
      </c>
      <c r="B11" s="9" t="s">
        <v>118</v>
      </c>
      <c r="C11" s="9" t="s">
        <v>48</v>
      </c>
      <c r="D11" s="25" t="s">
        <v>675</v>
      </c>
      <c r="E11" s="12" t="s">
        <v>49</v>
      </c>
      <c r="F11" s="13" t="s">
        <v>676</v>
      </c>
    </row>
    <row r="12" customFormat="false" ht="24" hidden="false" customHeight="true" outlineLevel="0" collapsed="false">
      <c r="A12" s="13" t="s">
        <v>121</v>
      </c>
      <c r="B12" s="9" t="s">
        <v>122</v>
      </c>
      <c r="C12" s="9" t="s">
        <v>48</v>
      </c>
      <c r="D12" s="25" t="s">
        <v>675</v>
      </c>
      <c r="E12" s="12" t="s">
        <v>49</v>
      </c>
      <c r="F12" s="13" t="s">
        <v>676</v>
      </c>
    </row>
    <row r="13" customFormat="false" ht="24" hidden="false" customHeight="true" outlineLevel="0" collapsed="false">
      <c r="A13" s="13" t="s">
        <v>125</v>
      </c>
      <c r="B13" s="9" t="s">
        <v>126</v>
      </c>
      <c r="C13" s="9" t="s">
        <v>53</v>
      </c>
      <c r="D13" s="25" t="s">
        <v>675</v>
      </c>
      <c r="E13" s="12" t="s">
        <v>49</v>
      </c>
      <c r="F13" s="13" t="s">
        <v>676</v>
      </c>
    </row>
    <row r="14" customFormat="false" ht="24" hidden="false" customHeight="true" outlineLevel="0" collapsed="false">
      <c r="A14" s="13" t="s">
        <v>129</v>
      </c>
      <c r="B14" s="9" t="s">
        <v>130</v>
      </c>
      <c r="C14" s="9" t="s">
        <v>53</v>
      </c>
      <c r="D14" s="25" t="s">
        <v>675</v>
      </c>
      <c r="E14" s="12" t="s">
        <v>49</v>
      </c>
      <c r="F14" s="13" t="s">
        <v>676</v>
      </c>
    </row>
    <row r="15" customFormat="false" ht="24" hidden="false" customHeight="true" outlineLevel="0" collapsed="false">
      <c r="A15" s="13" t="s">
        <v>133</v>
      </c>
      <c r="B15" s="9" t="s">
        <v>134</v>
      </c>
      <c r="C15" s="9" t="s">
        <v>53</v>
      </c>
      <c r="D15" s="25" t="s">
        <v>675</v>
      </c>
      <c r="E15" s="12" t="s">
        <v>49</v>
      </c>
      <c r="F15" s="13" t="s">
        <v>676</v>
      </c>
    </row>
    <row r="16" customFormat="false" ht="24" hidden="false" customHeight="true" outlineLevel="0" collapsed="false">
      <c r="A16" s="13" t="s">
        <v>137</v>
      </c>
      <c r="B16" s="9" t="s">
        <v>138</v>
      </c>
      <c r="C16" s="9" t="s">
        <v>53</v>
      </c>
      <c r="D16" s="25" t="s">
        <v>675</v>
      </c>
      <c r="E16" s="12" t="s">
        <v>49</v>
      </c>
      <c r="F16" s="13" t="s">
        <v>676</v>
      </c>
    </row>
    <row r="17" customFormat="false" ht="24" hidden="false" customHeight="true" outlineLevel="0" collapsed="false">
      <c r="A17" s="13" t="s">
        <v>141</v>
      </c>
      <c r="B17" s="9" t="s">
        <v>142</v>
      </c>
      <c r="C17" s="9" t="s">
        <v>56</v>
      </c>
      <c r="D17" s="25" t="s">
        <v>675</v>
      </c>
      <c r="E17" s="12" t="s">
        <v>49</v>
      </c>
      <c r="F17" s="13" t="s">
        <v>676</v>
      </c>
    </row>
    <row r="18" customFormat="false" ht="24" hidden="false" customHeight="true" outlineLevel="0" collapsed="false">
      <c r="A18" s="13" t="s">
        <v>145</v>
      </c>
      <c r="B18" s="9" t="s">
        <v>146</v>
      </c>
      <c r="C18" s="9" t="s">
        <v>56</v>
      </c>
      <c r="D18" s="25" t="s">
        <v>675</v>
      </c>
      <c r="E18" s="12" t="s">
        <v>49</v>
      </c>
      <c r="F18" s="13" t="s">
        <v>676</v>
      </c>
    </row>
    <row r="19" customFormat="false" ht="24" hidden="false" customHeight="true" outlineLevel="0" collapsed="false">
      <c r="A19" s="13" t="s">
        <v>149</v>
      </c>
      <c r="B19" s="9" t="s">
        <v>150</v>
      </c>
      <c r="C19" s="9" t="s">
        <v>56</v>
      </c>
      <c r="D19" s="25" t="s">
        <v>675</v>
      </c>
      <c r="E19" s="12" t="s">
        <v>49</v>
      </c>
      <c r="F19" s="13" t="s">
        <v>676</v>
      </c>
    </row>
    <row r="20" customFormat="false" ht="24" hidden="false" customHeight="true" outlineLevel="0" collapsed="false">
      <c r="A20" s="13" t="s">
        <v>153</v>
      </c>
      <c r="B20" s="9" t="s">
        <v>154</v>
      </c>
      <c r="C20" s="9" t="s">
        <v>56</v>
      </c>
      <c r="D20" s="25" t="s">
        <v>675</v>
      </c>
      <c r="E20" s="12" t="s">
        <v>49</v>
      </c>
      <c r="F20" s="13" t="s">
        <v>676</v>
      </c>
    </row>
    <row r="21" customFormat="false" ht="24" hidden="false" customHeight="true" outlineLevel="0" collapsed="false">
      <c r="A21" s="13" t="s">
        <v>157</v>
      </c>
      <c r="B21" s="9" t="s">
        <v>158</v>
      </c>
      <c r="C21" s="9" t="s">
        <v>56</v>
      </c>
      <c r="D21" s="25" t="s">
        <v>675</v>
      </c>
      <c r="E21" s="12" t="s">
        <v>49</v>
      </c>
      <c r="F21" s="13" t="s">
        <v>676</v>
      </c>
    </row>
    <row r="22" customFormat="false" ht="24" hidden="false" customHeight="true" outlineLevel="0" collapsed="false">
      <c r="A22" s="13" t="s">
        <v>161</v>
      </c>
      <c r="B22" s="9" t="s">
        <v>162</v>
      </c>
      <c r="C22" s="9" t="s">
        <v>56</v>
      </c>
      <c r="D22" s="25" t="s">
        <v>675</v>
      </c>
      <c r="E22" s="12" t="s">
        <v>49</v>
      </c>
      <c r="F22" s="13" t="s">
        <v>676</v>
      </c>
    </row>
    <row r="23" customFormat="false" ht="24" hidden="false" customHeight="true" outlineLevel="0" collapsed="false">
      <c r="A23" s="13" t="s">
        <v>165</v>
      </c>
      <c r="B23" s="9" t="s">
        <v>166</v>
      </c>
      <c r="C23" s="9" t="s">
        <v>56</v>
      </c>
      <c r="D23" s="25" t="s">
        <v>675</v>
      </c>
      <c r="E23" s="12" t="s">
        <v>49</v>
      </c>
      <c r="F23" s="13" t="s">
        <v>676</v>
      </c>
    </row>
    <row r="24" customFormat="false" ht="24" hidden="false" customHeight="true" outlineLevel="0" collapsed="false">
      <c r="A24" s="13" t="s">
        <v>169</v>
      </c>
      <c r="B24" s="9" t="s">
        <v>170</v>
      </c>
      <c r="C24" s="9" t="s">
        <v>56</v>
      </c>
      <c r="D24" s="25" t="s">
        <v>675</v>
      </c>
      <c r="E24" s="12" t="s">
        <v>49</v>
      </c>
      <c r="F24" s="13" t="s">
        <v>676</v>
      </c>
    </row>
    <row r="25" customFormat="false" ht="24" hidden="false" customHeight="true" outlineLevel="0" collapsed="false">
      <c r="A25" s="13" t="s">
        <v>173</v>
      </c>
      <c r="B25" s="9" t="s">
        <v>174</v>
      </c>
      <c r="C25" s="9" t="s">
        <v>56</v>
      </c>
      <c r="D25" s="25" t="s">
        <v>675</v>
      </c>
      <c r="E25" s="12" t="s">
        <v>49</v>
      </c>
      <c r="F25" s="13" t="s">
        <v>676</v>
      </c>
    </row>
    <row r="26" customFormat="false" ht="24" hidden="false" customHeight="true" outlineLevel="0" collapsed="false">
      <c r="A26" s="13" t="s">
        <v>177</v>
      </c>
      <c r="B26" s="9" t="s">
        <v>178</v>
      </c>
      <c r="C26" s="9" t="s">
        <v>56</v>
      </c>
      <c r="D26" s="25" t="s">
        <v>675</v>
      </c>
      <c r="E26" s="12" t="s">
        <v>49</v>
      </c>
      <c r="F26" s="13" t="s">
        <v>676</v>
      </c>
    </row>
    <row r="27" customFormat="false" ht="24" hidden="false" customHeight="true" outlineLevel="0" collapsed="false">
      <c r="A27" s="13" t="s">
        <v>181</v>
      </c>
      <c r="B27" s="9" t="s">
        <v>182</v>
      </c>
      <c r="C27" s="9" t="s">
        <v>56</v>
      </c>
      <c r="D27" s="25" t="s">
        <v>675</v>
      </c>
      <c r="E27" s="12" t="s">
        <v>49</v>
      </c>
      <c r="F27" s="13" t="s">
        <v>676</v>
      </c>
    </row>
    <row r="28" customFormat="false" ht="24" hidden="false" customHeight="true" outlineLevel="0" collapsed="false">
      <c r="A28" s="13" t="s">
        <v>185</v>
      </c>
      <c r="B28" s="9" t="s">
        <v>186</v>
      </c>
      <c r="C28" s="9" t="s">
        <v>56</v>
      </c>
      <c r="D28" s="25" t="s">
        <v>675</v>
      </c>
      <c r="E28" s="12" t="s">
        <v>49</v>
      </c>
      <c r="F28" s="13" t="s">
        <v>676</v>
      </c>
    </row>
    <row r="29" customFormat="false" ht="24" hidden="false" customHeight="true" outlineLevel="0" collapsed="false">
      <c r="A29" s="13" t="s">
        <v>189</v>
      </c>
      <c r="B29" s="9" t="s">
        <v>190</v>
      </c>
      <c r="C29" s="9" t="s">
        <v>56</v>
      </c>
      <c r="D29" s="25" t="s">
        <v>675</v>
      </c>
      <c r="E29" s="12" t="s">
        <v>49</v>
      </c>
      <c r="F29" s="13" t="s">
        <v>676</v>
      </c>
    </row>
    <row r="30" customFormat="false" ht="24" hidden="false" customHeight="true" outlineLevel="0" collapsed="false">
      <c r="A30" s="13" t="s">
        <v>193</v>
      </c>
      <c r="B30" s="9" t="s">
        <v>194</v>
      </c>
      <c r="C30" s="9" t="s">
        <v>56</v>
      </c>
      <c r="D30" s="25" t="s">
        <v>675</v>
      </c>
      <c r="E30" s="12" t="s">
        <v>49</v>
      </c>
      <c r="F30" s="13" t="s">
        <v>676</v>
      </c>
    </row>
    <row r="31" customFormat="false" ht="24" hidden="false" customHeight="true" outlineLevel="0" collapsed="false">
      <c r="A31" s="13" t="s">
        <v>197</v>
      </c>
      <c r="B31" s="9" t="s">
        <v>198</v>
      </c>
      <c r="C31" s="9" t="s">
        <v>56</v>
      </c>
      <c r="D31" s="25" t="s">
        <v>675</v>
      </c>
      <c r="E31" s="12" t="s">
        <v>49</v>
      </c>
      <c r="F31" s="13" t="s">
        <v>676</v>
      </c>
    </row>
    <row r="32" customFormat="false" ht="24" hidden="false" customHeight="true" outlineLevel="0" collapsed="false">
      <c r="A32" s="13" t="s">
        <v>201</v>
      </c>
      <c r="B32" s="9" t="s">
        <v>202</v>
      </c>
      <c r="C32" s="9" t="s">
        <v>56</v>
      </c>
      <c r="D32" s="25" t="s">
        <v>675</v>
      </c>
      <c r="E32" s="12" t="s">
        <v>49</v>
      </c>
      <c r="F32" s="13" t="s">
        <v>676</v>
      </c>
    </row>
    <row r="33" customFormat="false" ht="24" hidden="false" customHeight="true" outlineLevel="0" collapsed="false">
      <c r="A33" s="13" t="s">
        <v>205</v>
      </c>
      <c r="B33" s="9" t="s">
        <v>206</v>
      </c>
      <c r="C33" s="9" t="s">
        <v>59</v>
      </c>
      <c r="D33" s="25" t="s">
        <v>675</v>
      </c>
      <c r="E33" s="12" t="s">
        <v>49</v>
      </c>
      <c r="F33" s="13" t="s">
        <v>676</v>
      </c>
    </row>
    <row r="34" customFormat="false" ht="24" hidden="false" customHeight="true" outlineLevel="0" collapsed="false">
      <c r="A34" s="13" t="s">
        <v>209</v>
      </c>
      <c r="B34" s="9" t="s">
        <v>210</v>
      </c>
      <c r="C34" s="9" t="s">
        <v>59</v>
      </c>
      <c r="D34" s="25" t="s">
        <v>675</v>
      </c>
      <c r="E34" s="12" t="s">
        <v>49</v>
      </c>
      <c r="F34" s="13" t="s">
        <v>676</v>
      </c>
    </row>
    <row r="35" customFormat="false" ht="24" hidden="false" customHeight="true" outlineLevel="0" collapsed="false">
      <c r="A35" s="13" t="s">
        <v>213</v>
      </c>
      <c r="B35" s="9" t="s">
        <v>214</v>
      </c>
      <c r="C35" s="9" t="s">
        <v>59</v>
      </c>
      <c r="D35" s="25" t="s">
        <v>675</v>
      </c>
      <c r="E35" s="12" t="s">
        <v>49</v>
      </c>
      <c r="F35" s="13" t="s">
        <v>676</v>
      </c>
    </row>
    <row r="36" customFormat="false" ht="24" hidden="false" customHeight="true" outlineLevel="0" collapsed="false">
      <c r="A36" s="13" t="s">
        <v>217</v>
      </c>
      <c r="B36" s="9" t="s">
        <v>218</v>
      </c>
      <c r="C36" s="9" t="s">
        <v>59</v>
      </c>
      <c r="D36" s="25" t="s">
        <v>675</v>
      </c>
      <c r="E36" s="12" t="s">
        <v>49</v>
      </c>
      <c r="F36" s="13" t="s">
        <v>676</v>
      </c>
    </row>
    <row r="37" customFormat="false" ht="24" hidden="false" customHeight="true" outlineLevel="0" collapsed="false">
      <c r="A37" s="13" t="s">
        <v>221</v>
      </c>
      <c r="B37" s="9" t="s">
        <v>222</v>
      </c>
      <c r="C37" s="9" t="s">
        <v>59</v>
      </c>
      <c r="D37" s="25" t="s">
        <v>675</v>
      </c>
      <c r="E37" s="12" t="s">
        <v>49</v>
      </c>
      <c r="F37" s="13" t="s">
        <v>676</v>
      </c>
    </row>
    <row r="38" customFormat="false" ht="24" hidden="false" customHeight="true" outlineLevel="0" collapsed="false">
      <c r="A38" s="13" t="s">
        <v>225</v>
      </c>
      <c r="B38" s="9" t="s">
        <v>226</v>
      </c>
      <c r="C38" s="9" t="s">
        <v>59</v>
      </c>
      <c r="D38" s="25" t="s">
        <v>675</v>
      </c>
      <c r="E38" s="12" t="s">
        <v>49</v>
      </c>
      <c r="F38" s="13" t="s">
        <v>676</v>
      </c>
    </row>
    <row r="39" customFormat="false" ht="24" hidden="false" customHeight="true" outlineLevel="0" collapsed="false">
      <c r="A39" s="13" t="s">
        <v>229</v>
      </c>
      <c r="B39" s="9" t="s">
        <v>230</v>
      </c>
      <c r="C39" s="9" t="s">
        <v>59</v>
      </c>
      <c r="D39" s="25" t="s">
        <v>675</v>
      </c>
      <c r="E39" s="12" t="s">
        <v>49</v>
      </c>
      <c r="F39" s="13" t="s">
        <v>676</v>
      </c>
    </row>
    <row r="40" customFormat="false" ht="24" hidden="false" customHeight="true" outlineLevel="0" collapsed="false">
      <c r="A40" s="13" t="s">
        <v>233</v>
      </c>
      <c r="B40" s="9" t="s">
        <v>234</v>
      </c>
      <c r="C40" s="9" t="s">
        <v>59</v>
      </c>
      <c r="D40" s="25" t="s">
        <v>675</v>
      </c>
      <c r="E40" s="12" t="s">
        <v>49</v>
      </c>
      <c r="F40" s="13" t="s">
        <v>676</v>
      </c>
    </row>
    <row r="41" customFormat="false" ht="24" hidden="false" customHeight="true" outlineLevel="0" collapsed="false">
      <c r="A41" s="13" t="s">
        <v>237</v>
      </c>
      <c r="B41" s="9" t="s">
        <v>238</v>
      </c>
      <c r="C41" s="9" t="s">
        <v>59</v>
      </c>
      <c r="D41" s="25" t="s">
        <v>675</v>
      </c>
      <c r="E41" s="12" t="s">
        <v>49</v>
      </c>
      <c r="F41" s="13" t="s">
        <v>676</v>
      </c>
    </row>
    <row r="42" customFormat="false" ht="24" hidden="false" customHeight="true" outlineLevel="0" collapsed="false">
      <c r="A42" s="13" t="s">
        <v>241</v>
      </c>
      <c r="B42" s="9" t="s">
        <v>242</v>
      </c>
      <c r="C42" s="9" t="s">
        <v>59</v>
      </c>
      <c r="D42" s="25" t="s">
        <v>675</v>
      </c>
      <c r="E42" s="12" t="s">
        <v>49</v>
      </c>
      <c r="F42" s="13" t="s">
        <v>676</v>
      </c>
    </row>
    <row r="43" customFormat="false" ht="24" hidden="false" customHeight="true" outlineLevel="0" collapsed="false">
      <c r="A43" s="13" t="s">
        <v>245</v>
      </c>
      <c r="B43" s="9" t="s">
        <v>246</v>
      </c>
      <c r="C43" s="9" t="s">
        <v>59</v>
      </c>
      <c r="D43" s="25" t="s">
        <v>675</v>
      </c>
      <c r="E43" s="12" t="s">
        <v>49</v>
      </c>
      <c r="F43" s="13" t="s">
        <v>676</v>
      </c>
    </row>
    <row r="44" customFormat="false" ht="24" hidden="false" customHeight="true" outlineLevel="0" collapsed="false">
      <c r="A44" s="13" t="s">
        <v>249</v>
      </c>
      <c r="B44" s="9" t="s">
        <v>250</v>
      </c>
      <c r="C44" s="9" t="s">
        <v>62</v>
      </c>
      <c r="D44" s="25" t="s">
        <v>675</v>
      </c>
      <c r="E44" s="12" t="s">
        <v>49</v>
      </c>
      <c r="F44" s="13" t="s">
        <v>676</v>
      </c>
    </row>
    <row r="45" customFormat="false" ht="24" hidden="false" customHeight="true" outlineLevel="0" collapsed="false">
      <c r="A45" s="13" t="s">
        <v>253</v>
      </c>
      <c r="B45" s="9" t="s">
        <v>254</v>
      </c>
      <c r="C45" s="9" t="s">
        <v>62</v>
      </c>
      <c r="D45" s="25" t="s">
        <v>675</v>
      </c>
      <c r="E45" s="12" t="s">
        <v>49</v>
      </c>
      <c r="F45" s="13" t="s">
        <v>676</v>
      </c>
    </row>
    <row r="46" customFormat="false" ht="24" hidden="false" customHeight="true" outlineLevel="0" collapsed="false">
      <c r="A46" s="13" t="s">
        <v>257</v>
      </c>
      <c r="B46" s="9" t="s">
        <v>258</v>
      </c>
      <c r="C46" s="9" t="s">
        <v>62</v>
      </c>
      <c r="D46" s="25" t="s">
        <v>675</v>
      </c>
      <c r="E46" s="12" t="s">
        <v>49</v>
      </c>
      <c r="F46" s="13" t="s">
        <v>676</v>
      </c>
    </row>
    <row r="47" customFormat="false" ht="24" hidden="false" customHeight="true" outlineLevel="0" collapsed="false">
      <c r="A47" s="13" t="s">
        <v>261</v>
      </c>
      <c r="B47" s="9" t="s">
        <v>262</v>
      </c>
      <c r="C47" s="9" t="s">
        <v>62</v>
      </c>
      <c r="D47" s="25" t="s">
        <v>675</v>
      </c>
      <c r="E47" s="12" t="s">
        <v>49</v>
      </c>
      <c r="F47" s="13" t="s">
        <v>676</v>
      </c>
    </row>
    <row r="48" customFormat="false" ht="24" hidden="false" customHeight="true" outlineLevel="0" collapsed="false">
      <c r="A48" s="13" t="s">
        <v>265</v>
      </c>
      <c r="B48" s="9" t="s">
        <v>266</v>
      </c>
      <c r="C48" s="9" t="s">
        <v>65</v>
      </c>
      <c r="D48" s="25" t="s">
        <v>675</v>
      </c>
      <c r="E48" s="12" t="s">
        <v>49</v>
      </c>
      <c r="F48" s="13" t="s">
        <v>676</v>
      </c>
    </row>
    <row r="49" customFormat="false" ht="24" hidden="false" customHeight="true" outlineLevel="0" collapsed="false">
      <c r="A49" s="13" t="s">
        <v>269</v>
      </c>
      <c r="B49" s="9" t="s">
        <v>270</v>
      </c>
      <c r="C49" s="9" t="s">
        <v>65</v>
      </c>
      <c r="D49" s="25" t="s">
        <v>675</v>
      </c>
      <c r="E49" s="12" t="s">
        <v>49</v>
      </c>
      <c r="F49" s="13" t="s">
        <v>676</v>
      </c>
    </row>
    <row r="50" customFormat="false" ht="24" hidden="false" customHeight="true" outlineLevel="0" collapsed="false">
      <c r="A50" s="13" t="s">
        <v>273</v>
      </c>
      <c r="B50" s="9" t="s">
        <v>274</v>
      </c>
      <c r="C50" s="9" t="s">
        <v>65</v>
      </c>
      <c r="D50" s="25" t="s">
        <v>675</v>
      </c>
      <c r="E50" s="12" t="s">
        <v>49</v>
      </c>
      <c r="F50" s="13" t="s">
        <v>676</v>
      </c>
    </row>
    <row r="51" customFormat="false" ht="24" hidden="false" customHeight="true" outlineLevel="0" collapsed="false">
      <c r="A51" s="13" t="s">
        <v>277</v>
      </c>
      <c r="B51" s="9" t="s">
        <v>278</v>
      </c>
      <c r="C51" s="9" t="s">
        <v>68</v>
      </c>
      <c r="D51" s="25" t="s">
        <v>675</v>
      </c>
      <c r="E51" s="12" t="s">
        <v>49</v>
      </c>
      <c r="F51" s="13" t="s">
        <v>676</v>
      </c>
    </row>
    <row r="52" customFormat="false" ht="24" hidden="false" customHeight="true" outlineLevel="0" collapsed="false">
      <c r="A52" s="13" t="s">
        <v>281</v>
      </c>
      <c r="B52" s="9" t="s">
        <v>282</v>
      </c>
      <c r="C52" s="9" t="s">
        <v>68</v>
      </c>
      <c r="D52" s="25" t="s">
        <v>675</v>
      </c>
      <c r="E52" s="12" t="s">
        <v>49</v>
      </c>
      <c r="F52" s="13" t="s">
        <v>676</v>
      </c>
    </row>
    <row r="53" customFormat="false" ht="24" hidden="false" customHeight="true" outlineLevel="0" collapsed="false">
      <c r="A53" s="13" t="s">
        <v>285</v>
      </c>
      <c r="B53" s="9" t="s">
        <v>286</v>
      </c>
      <c r="C53" s="9" t="s">
        <v>68</v>
      </c>
      <c r="D53" s="25" t="s">
        <v>675</v>
      </c>
      <c r="E53" s="12" t="s">
        <v>49</v>
      </c>
      <c r="F53" s="13" t="s">
        <v>676</v>
      </c>
    </row>
    <row r="54" customFormat="false" ht="24" hidden="false" customHeight="true" outlineLevel="0" collapsed="false">
      <c r="A54" s="13" t="s">
        <v>289</v>
      </c>
      <c r="B54" s="9" t="s">
        <v>290</v>
      </c>
      <c r="C54" s="9" t="s">
        <v>68</v>
      </c>
      <c r="D54" s="25" t="s">
        <v>675</v>
      </c>
      <c r="E54" s="12" t="s">
        <v>49</v>
      </c>
      <c r="F54" s="13" t="s">
        <v>676</v>
      </c>
    </row>
    <row r="55" customFormat="false" ht="24" hidden="false" customHeight="true" outlineLevel="0" collapsed="false">
      <c r="A55" s="13" t="s">
        <v>293</v>
      </c>
      <c r="B55" s="9" t="s">
        <v>294</v>
      </c>
      <c r="C55" s="9" t="s">
        <v>71</v>
      </c>
      <c r="D55" s="25" t="s">
        <v>675</v>
      </c>
      <c r="E55" s="12" t="s">
        <v>49</v>
      </c>
      <c r="F55" s="13" t="s">
        <v>676</v>
      </c>
    </row>
    <row r="56" customFormat="false" ht="24" hidden="false" customHeight="true" outlineLevel="0" collapsed="false">
      <c r="A56" s="13" t="s">
        <v>297</v>
      </c>
      <c r="B56" s="9" t="s">
        <v>298</v>
      </c>
      <c r="C56" s="9" t="s">
        <v>71</v>
      </c>
      <c r="D56" s="25" t="s">
        <v>675</v>
      </c>
      <c r="E56" s="12" t="s">
        <v>49</v>
      </c>
      <c r="F56" s="13" t="s">
        <v>676</v>
      </c>
    </row>
    <row r="57" customFormat="false" ht="24" hidden="false" customHeight="true" outlineLevel="0" collapsed="false">
      <c r="A57" s="13" t="s">
        <v>301</v>
      </c>
      <c r="B57" s="9" t="s">
        <v>302</v>
      </c>
      <c r="C57" s="9" t="s">
        <v>71</v>
      </c>
      <c r="D57" s="25" t="s">
        <v>675</v>
      </c>
      <c r="E57" s="12" t="s">
        <v>49</v>
      </c>
      <c r="F57" s="13" t="s">
        <v>676</v>
      </c>
    </row>
    <row r="58" customFormat="false" ht="24" hidden="false" customHeight="true" outlineLevel="0" collapsed="false">
      <c r="A58" s="13" t="s">
        <v>305</v>
      </c>
      <c r="B58" s="9" t="s">
        <v>306</v>
      </c>
      <c r="C58" s="9" t="s">
        <v>71</v>
      </c>
      <c r="D58" s="25" t="s">
        <v>675</v>
      </c>
      <c r="E58" s="12" t="s">
        <v>49</v>
      </c>
      <c r="F58" s="13" t="s">
        <v>676</v>
      </c>
    </row>
    <row r="59" customFormat="false" ht="24" hidden="false" customHeight="true" outlineLevel="0" collapsed="false">
      <c r="A59" s="13" t="s">
        <v>309</v>
      </c>
      <c r="B59" s="9" t="s">
        <v>310</v>
      </c>
      <c r="C59" s="9" t="s">
        <v>74</v>
      </c>
      <c r="D59" s="25" t="s">
        <v>675</v>
      </c>
      <c r="E59" s="12" t="s">
        <v>49</v>
      </c>
      <c r="F59" s="13" t="s">
        <v>676</v>
      </c>
    </row>
    <row r="60" customFormat="false" ht="24" hidden="false" customHeight="true" outlineLevel="0" collapsed="false">
      <c r="A60" s="13" t="s">
        <v>313</v>
      </c>
      <c r="B60" s="9" t="s">
        <v>314</v>
      </c>
      <c r="C60" s="9" t="s">
        <v>74</v>
      </c>
      <c r="D60" s="25" t="s">
        <v>675</v>
      </c>
      <c r="E60" s="12" t="s">
        <v>49</v>
      </c>
      <c r="F60" s="13" t="s">
        <v>676</v>
      </c>
    </row>
    <row r="61" customFormat="false" ht="24" hidden="false" customHeight="true" outlineLevel="0" collapsed="false">
      <c r="A61" s="13" t="s">
        <v>317</v>
      </c>
      <c r="B61" s="9" t="s">
        <v>318</v>
      </c>
      <c r="C61" s="9" t="s">
        <v>74</v>
      </c>
      <c r="D61" s="25" t="s">
        <v>675</v>
      </c>
      <c r="E61" s="12" t="s">
        <v>49</v>
      </c>
      <c r="F61" s="13" t="s">
        <v>676</v>
      </c>
    </row>
    <row r="62" customFormat="false" ht="24" hidden="false" customHeight="true" outlineLevel="0" collapsed="false">
      <c r="A62" s="13" t="s">
        <v>321</v>
      </c>
      <c r="B62" s="9" t="s">
        <v>322</v>
      </c>
      <c r="C62" s="9" t="s">
        <v>74</v>
      </c>
      <c r="D62" s="25" t="s">
        <v>675</v>
      </c>
      <c r="E62" s="12" t="s">
        <v>49</v>
      </c>
      <c r="F62" s="13" t="s">
        <v>676</v>
      </c>
    </row>
    <row r="63" customFormat="false" ht="24" hidden="false" customHeight="true" outlineLevel="0" collapsed="false">
      <c r="A63" s="13" t="s">
        <v>325</v>
      </c>
      <c r="B63" s="9" t="s">
        <v>326</v>
      </c>
      <c r="C63" s="9" t="s">
        <v>74</v>
      </c>
      <c r="D63" s="25" t="s">
        <v>675</v>
      </c>
      <c r="E63" s="12" t="s">
        <v>49</v>
      </c>
      <c r="F63" s="13" t="s">
        <v>676</v>
      </c>
    </row>
    <row r="64" customFormat="false" ht="24" hidden="false" customHeight="true" outlineLevel="0" collapsed="false">
      <c r="A64" s="13" t="s">
        <v>329</v>
      </c>
      <c r="B64" s="9" t="s">
        <v>330</v>
      </c>
      <c r="C64" s="9" t="s">
        <v>74</v>
      </c>
      <c r="D64" s="25" t="s">
        <v>675</v>
      </c>
      <c r="E64" s="12" t="s">
        <v>49</v>
      </c>
      <c r="F64" s="13" t="s">
        <v>676</v>
      </c>
    </row>
    <row r="65" customFormat="false" ht="24" hidden="false" customHeight="true" outlineLevel="0" collapsed="false">
      <c r="A65" s="13" t="s">
        <v>333</v>
      </c>
      <c r="B65" s="9" t="s">
        <v>334</v>
      </c>
      <c r="C65" s="9" t="s">
        <v>74</v>
      </c>
      <c r="D65" s="25" t="s">
        <v>675</v>
      </c>
      <c r="E65" s="12" t="s">
        <v>49</v>
      </c>
      <c r="F65" s="13" t="s">
        <v>676</v>
      </c>
    </row>
    <row r="66" customFormat="false" ht="24" hidden="false" customHeight="true" outlineLevel="0" collapsed="false">
      <c r="A66" s="13" t="s">
        <v>337</v>
      </c>
      <c r="B66" s="9" t="s">
        <v>338</v>
      </c>
      <c r="C66" s="9" t="s">
        <v>74</v>
      </c>
      <c r="D66" s="25" t="s">
        <v>675</v>
      </c>
      <c r="E66" s="12" t="s">
        <v>49</v>
      </c>
      <c r="F66" s="13" t="s">
        <v>676</v>
      </c>
    </row>
    <row r="67" customFormat="false" ht="24" hidden="false" customHeight="true" outlineLevel="0" collapsed="false">
      <c r="A67" s="13" t="s">
        <v>341</v>
      </c>
      <c r="B67" s="9" t="s">
        <v>342</v>
      </c>
      <c r="C67" s="9" t="s">
        <v>74</v>
      </c>
      <c r="D67" s="25" t="s">
        <v>675</v>
      </c>
      <c r="E67" s="12" t="s">
        <v>49</v>
      </c>
      <c r="F67" s="13" t="s">
        <v>676</v>
      </c>
    </row>
    <row r="68" customFormat="false" ht="24" hidden="false" customHeight="true" outlineLevel="0" collapsed="false">
      <c r="A68" s="13" t="s">
        <v>345</v>
      </c>
      <c r="B68" s="9" t="s">
        <v>346</v>
      </c>
      <c r="C68" s="9" t="s">
        <v>74</v>
      </c>
      <c r="D68" s="25" t="s">
        <v>675</v>
      </c>
      <c r="E68" s="12" t="s">
        <v>49</v>
      </c>
      <c r="F68" s="13" t="s">
        <v>676</v>
      </c>
    </row>
    <row r="69" customFormat="false" ht="24" hidden="false" customHeight="true" outlineLevel="0" collapsed="false">
      <c r="A69" s="13" t="s">
        <v>349</v>
      </c>
      <c r="B69" s="9" t="s">
        <v>350</v>
      </c>
      <c r="C69" s="9" t="s">
        <v>74</v>
      </c>
      <c r="D69" s="25" t="s">
        <v>675</v>
      </c>
      <c r="E69" s="12" t="s">
        <v>49</v>
      </c>
      <c r="F69" s="13" t="s">
        <v>676</v>
      </c>
    </row>
    <row r="70" customFormat="false" ht="24" hidden="false" customHeight="true" outlineLevel="0" collapsed="false">
      <c r="A70" s="13" t="s">
        <v>353</v>
      </c>
      <c r="B70" s="9" t="s">
        <v>354</v>
      </c>
      <c r="C70" s="9" t="s">
        <v>77</v>
      </c>
      <c r="D70" s="25" t="s">
        <v>675</v>
      </c>
      <c r="E70" s="12" t="s">
        <v>49</v>
      </c>
      <c r="F70" s="13" t="s">
        <v>676</v>
      </c>
    </row>
    <row r="71" customFormat="false" ht="24" hidden="false" customHeight="true" outlineLevel="0" collapsed="false">
      <c r="A71" s="13" t="s">
        <v>357</v>
      </c>
      <c r="B71" s="9" t="s">
        <v>358</v>
      </c>
      <c r="C71" s="9" t="s">
        <v>77</v>
      </c>
      <c r="D71" s="25" t="s">
        <v>675</v>
      </c>
      <c r="E71" s="12" t="s">
        <v>49</v>
      </c>
      <c r="F71" s="13" t="s">
        <v>676</v>
      </c>
    </row>
    <row r="72" customFormat="false" ht="24" hidden="false" customHeight="true" outlineLevel="0" collapsed="false">
      <c r="A72" s="13" t="s">
        <v>361</v>
      </c>
      <c r="B72" s="9" t="s">
        <v>362</v>
      </c>
      <c r="C72" s="9" t="s">
        <v>77</v>
      </c>
      <c r="D72" s="25" t="s">
        <v>675</v>
      </c>
      <c r="E72" s="12" t="s">
        <v>49</v>
      </c>
      <c r="F72" s="13" t="s">
        <v>676</v>
      </c>
    </row>
    <row r="73" customFormat="false" ht="24" hidden="false" customHeight="true" outlineLevel="0" collapsed="false">
      <c r="A73" s="13" t="s">
        <v>365</v>
      </c>
      <c r="B73" s="9" t="s">
        <v>366</v>
      </c>
      <c r="C73" s="9" t="s">
        <v>77</v>
      </c>
      <c r="D73" s="25" t="s">
        <v>675</v>
      </c>
      <c r="E73" s="12" t="s">
        <v>49</v>
      </c>
      <c r="F73" s="13" t="s">
        <v>676</v>
      </c>
    </row>
    <row r="74" customFormat="false" ht="24" hidden="false" customHeight="true" outlineLevel="0" collapsed="false">
      <c r="A74" s="13" t="s">
        <v>369</v>
      </c>
      <c r="B74" s="9" t="s">
        <v>370</v>
      </c>
      <c r="C74" s="9" t="s">
        <v>77</v>
      </c>
      <c r="D74" s="25" t="s">
        <v>675</v>
      </c>
      <c r="E74" s="12" t="s">
        <v>49</v>
      </c>
      <c r="F74" s="13" t="s">
        <v>676</v>
      </c>
    </row>
    <row r="75" customFormat="false" ht="24" hidden="false" customHeight="true" outlineLevel="0" collapsed="false">
      <c r="A75" s="13" t="s">
        <v>373</v>
      </c>
      <c r="B75" s="9" t="s">
        <v>374</v>
      </c>
      <c r="C75" s="9" t="s">
        <v>77</v>
      </c>
      <c r="D75" s="25" t="s">
        <v>675</v>
      </c>
      <c r="E75" s="12" t="s">
        <v>49</v>
      </c>
      <c r="F75" s="13" t="s">
        <v>676</v>
      </c>
    </row>
    <row r="76" customFormat="false" ht="24" hidden="false" customHeight="true" outlineLevel="0" collapsed="false">
      <c r="A76" s="13" t="s">
        <v>377</v>
      </c>
      <c r="B76" s="9" t="s">
        <v>378</v>
      </c>
      <c r="C76" s="9" t="s">
        <v>77</v>
      </c>
      <c r="D76" s="25" t="s">
        <v>675</v>
      </c>
      <c r="E76" s="12" t="s">
        <v>49</v>
      </c>
      <c r="F76" s="13" t="s">
        <v>676</v>
      </c>
    </row>
    <row r="77" customFormat="false" ht="24" hidden="false" customHeight="true" outlineLevel="0" collapsed="false">
      <c r="A77" s="13" t="s">
        <v>381</v>
      </c>
      <c r="B77" s="9" t="s">
        <v>382</v>
      </c>
      <c r="C77" s="9" t="s">
        <v>81</v>
      </c>
      <c r="D77" s="25" t="s">
        <v>675</v>
      </c>
      <c r="E77" s="12" t="s">
        <v>49</v>
      </c>
      <c r="F77" s="13" t="s">
        <v>676</v>
      </c>
    </row>
    <row r="78" customFormat="false" ht="24" hidden="false" customHeight="true" outlineLevel="0" collapsed="false">
      <c r="A78" s="13" t="s">
        <v>385</v>
      </c>
      <c r="B78" s="9" t="s">
        <v>386</v>
      </c>
      <c r="C78" s="9" t="s">
        <v>81</v>
      </c>
      <c r="D78" s="25" t="s">
        <v>675</v>
      </c>
      <c r="E78" s="12" t="s">
        <v>49</v>
      </c>
      <c r="F78" s="13" t="s">
        <v>676</v>
      </c>
    </row>
    <row r="79" customFormat="false" ht="24" hidden="false" customHeight="true" outlineLevel="0" collapsed="false">
      <c r="A79" s="13" t="s">
        <v>389</v>
      </c>
      <c r="B79" s="9" t="s">
        <v>390</v>
      </c>
      <c r="C79" s="9" t="s">
        <v>81</v>
      </c>
      <c r="D79" s="25" t="s">
        <v>675</v>
      </c>
      <c r="E79" s="12" t="s">
        <v>49</v>
      </c>
      <c r="F79" s="13" t="s">
        <v>676</v>
      </c>
    </row>
    <row r="80" customFormat="false" ht="24" hidden="false" customHeight="true" outlineLevel="0" collapsed="false">
      <c r="A80" s="13" t="s">
        <v>393</v>
      </c>
      <c r="B80" s="9" t="s">
        <v>394</v>
      </c>
      <c r="C80" s="9" t="s">
        <v>81</v>
      </c>
      <c r="D80" s="25" t="s">
        <v>675</v>
      </c>
      <c r="E80" s="12" t="s">
        <v>49</v>
      </c>
      <c r="F80" s="13" t="s">
        <v>676</v>
      </c>
    </row>
    <row r="81" customFormat="false" ht="24" hidden="false" customHeight="true" outlineLevel="0" collapsed="false">
      <c r="A81" s="13" t="s">
        <v>397</v>
      </c>
      <c r="B81" s="9" t="s">
        <v>398</v>
      </c>
      <c r="C81" s="9" t="s">
        <v>81</v>
      </c>
      <c r="D81" s="25" t="s">
        <v>675</v>
      </c>
      <c r="E81" s="12" t="s">
        <v>49</v>
      </c>
      <c r="F81" s="13" t="s">
        <v>676</v>
      </c>
    </row>
    <row r="82" customFormat="false" ht="24" hidden="false" customHeight="true" outlineLevel="0" collapsed="false">
      <c r="A82" s="13" t="s">
        <v>401</v>
      </c>
      <c r="B82" s="9" t="s">
        <v>402</v>
      </c>
      <c r="C82" s="9" t="s">
        <v>81</v>
      </c>
      <c r="D82" s="25" t="s">
        <v>675</v>
      </c>
      <c r="E82" s="12" t="s">
        <v>49</v>
      </c>
      <c r="F82" s="13" t="s">
        <v>676</v>
      </c>
    </row>
    <row r="84" customFormat="false" ht="24" hidden="false" customHeight="true" outlineLevel="0" collapsed="false">
      <c r="A84" s="26" t="s">
        <v>677</v>
      </c>
      <c r="B84" s="27" t="str">
        <f aca="false">COUNTIF(D4:D82,"● ON")&amp;" ON  /  "&amp;COUNTIF(D4:D82,"● OFF")&amp;" OFF  /  "&amp;COUNTA(D4:D82)&amp;" total"</f>
        <v>79 ON  /  0 OFF  /  79 total</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3" min="3" style="0" width="90"/>
  </cols>
  <sheetData>
    <row r="1" customFormat="false" ht="31.5" hidden="false" customHeight="true" outlineLevel="0" collapsed="false">
      <c r="B1" s="1" t="s">
        <v>678</v>
      </c>
      <c r="C1" s="2"/>
    </row>
    <row r="2" customFormat="false" ht="19.5" hidden="false" customHeight="true" outlineLevel="0" collapsed="false">
      <c r="B2" s="5"/>
      <c r="C2" s="6"/>
    </row>
    <row r="3" customFormat="false" ht="79.5" hidden="false" customHeight="true" outlineLevel="0" collapsed="false">
      <c r="B3" s="5" t="s">
        <v>679</v>
      </c>
      <c r="C3" s="6" t="s">
        <v>680</v>
      </c>
    </row>
    <row r="4" customFormat="false" ht="19.5" hidden="false" customHeight="true" outlineLevel="0" collapsed="false">
      <c r="B4" s="5"/>
      <c r="C4" s="6"/>
    </row>
    <row r="5" customFormat="false" ht="19.5" hidden="false" customHeight="true" outlineLevel="0" collapsed="false">
      <c r="B5" s="5" t="s">
        <v>681</v>
      </c>
      <c r="C5" s="6" t="s">
        <v>682</v>
      </c>
    </row>
    <row r="6" customFormat="false" ht="19.5" hidden="false" customHeight="true" outlineLevel="0" collapsed="false">
      <c r="B6" s="28" t="s">
        <v>683</v>
      </c>
      <c r="C6" s="6" t="s">
        <v>684</v>
      </c>
    </row>
    <row r="7" customFormat="false" ht="19.5" hidden="false" customHeight="true" outlineLevel="0" collapsed="false">
      <c r="B7" s="28" t="s">
        <v>685</v>
      </c>
      <c r="C7" s="6" t="s">
        <v>686</v>
      </c>
    </row>
    <row r="8" customFormat="false" ht="19.5" hidden="false" customHeight="true" outlineLevel="0" collapsed="false">
      <c r="B8" s="28" t="s">
        <v>687</v>
      </c>
      <c r="C8" s="6" t="s">
        <v>688</v>
      </c>
    </row>
    <row r="9" customFormat="false" ht="19.5" hidden="false" customHeight="true" outlineLevel="0" collapsed="false">
      <c r="B9" s="28" t="s">
        <v>689</v>
      </c>
      <c r="C9" s="6" t="s">
        <v>690</v>
      </c>
    </row>
    <row r="10" customFormat="false" ht="19.5" hidden="false" customHeight="true" outlineLevel="0" collapsed="false">
      <c r="B10" s="28" t="s">
        <v>691</v>
      </c>
      <c r="C10" s="6" t="s">
        <v>692</v>
      </c>
    </row>
    <row r="11" customFormat="false" ht="19.5" hidden="false" customHeight="true" outlineLevel="0" collapsed="false">
      <c r="B11" s="5"/>
      <c r="C11" s="6"/>
    </row>
    <row r="12" customFormat="false" ht="19.5" hidden="false" customHeight="true" outlineLevel="0" collapsed="false">
      <c r="B12" s="5" t="s">
        <v>693</v>
      </c>
      <c r="C12" s="6"/>
    </row>
    <row r="13" customFormat="false" ht="19.5" hidden="false" customHeight="true" outlineLevel="0" collapsed="false">
      <c r="B13" s="28" t="s">
        <v>694</v>
      </c>
      <c r="C13" s="6" t="s">
        <v>695</v>
      </c>
    </row>
    <row r="14" customFormat="false" ht="19.5" hidden="false" customHeight="true" outlineLevel="0" collapsed="false">
      <c r="B14" s="28" t="s">
        <v>696</v>
      </c>
      <c r="C14" s="6" t="s">
        <v>697</v>
      </c>
    </row>
    <row r="15" customFormat="false" ht="19.5" hidden="false" customHeight="true" outlineLevel="0" collapsed="false">
      <c r="B15" s="28" t="s">
        <v>698</v>
      </c>
      <c r="C15" s="6" t="s">
        <v>699</v>
      </c>
    </row>
    <row r="16" customFormat="false" ht="19.5" hidden="false" customHeight="true" outlineLevel="0" collapsed="false">
      <c r="B16" s="28" t="s">
        <v>700</v>
      </c>
      <c r="C16" s="6" t="s">
        <v>701</v>
      </c>
    </row>
    <row r="17" customFormat="false" ht="31.5" hidden="false" customHeight="true" outlineLevel="0" collapsed="false">
      <c r="B17" s="28" t="s">
        <v>702</v>
      </c>
      <c r="C17" s="6" t="s">
        <v>703</v>
      </c>
    </row>
    <row r="18" customFormat="false" ht="19.5" hidden="false" customHeight="true" outlineLevel="0" collapsed="false">
      <c r="B18" s="5"/>
      <c r="C18" s="6"/>
    </row>
    <row r="19" customFormat="false" ht="48" hidden="false" customHeight="true" outlineLevel="0" collapsed="false">
      <c r="B19" s="5" t="s">
        <v>704</v>
      </c>
      <c r="C19" s="6" t="s">
        <v>705</v>
      </c>
    </row>
    <row r="20" customFormat="false" ht="19.5" hidden="false" customHeight="true" outlineLevel="0" collapsed="false">
      <c r="B20" s="5"/>
      <c r="C20" s="6"/>
    </row>
    <row r="21" customFormat="false" ht="31.5" hidden="false" customHeight="true" outlineLevel="0" collapsed="false">
      <c r="B21" s="5" t="s">
        <v>706</v>
      </c>
      <c r="C21" s="6" t="s">
        <v>707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42"/>
    <col collapsed="false" customWidth="true" hidden="false" outlineLevel="0" max="3" min="3" style="0" width="14"/>
    <col collapsed="false" customWidth="true" hidden="false" outlineLevel="0" max="4" min="4" style="0" width="90"/>
  </cols>
  <sheetData>
    <row r="1" customFormat="false" ht="30" hidden="false" customHeight="true" outlineLevel="0" collapsed="false">
      <c r="A1" s="7" t="s">
        <v>708</v>
      </c>
      <c r="B1" s="7" t="s">
        <v>709</v>
      </c>
      <c r="C1" s="7" t="s">
        <v>637</v>
      </c>
      <c r="D1" s="7" t="s">
        <v>710</v>
      </c>
    </row>
    <row r="2" customFormat="false" ht="49.5" hidden="false" customHeight="true" outlineLevel="0" collapsed="false">
      <c r="A2" s="8" t="s">
        <v>711</v>
      </c>
      <c r="B2" s="8" t="s">
        <v>712</v>
      </c>
      <c r="C2" s="29" t="s">
        <v>713</v>
      </c>
      <c r="D2" s="9" t="s">
        <v>714</v>
      </c>
    </row>
    <row r="3" customFormat="false" ht="49.5" hidden="false" customHeight="true" outlineLevel="0" collapsed="false">
      <c r="A3" s="8" t="s">
        <v>711</v>
      </c>
      <c r="B3" s="8" t="s">
        <v>715</v>
      </c>
      <c r="C3" s="29" t="s">
        <v>713</v>
      </c>
      <c r="D3" s="9" t="s">
        <v>716</v>
      </c>
    </row>
    <row r="4" customFormat="false" ht="49.5" hidden="false" customHeight="true" outlineLevel="0" collapsed="false">
      <c r="A4" s="8" t="s">
        <v>711</v>
      </c>
      <c r="B4" s="8" t="s">
        <v>632</v>
      </c>
      <c r="C4" s="29" t="s">
        <v>713</v>
      </c>
      <c r="D4" s="9" t="s">
        <v>717</v>
      </c>
    </row>
    <row r="5" customFormat="false" ht="49.5" hidden="false" customHeight="true" outlineLevel="0" collapsed="false">
      <c r="A5" s="8" t="s">
        <v>711</v>
      </c>
      <c r="B5" s="8" t="s">
        <v>718</v>
      </c>
      <c r="C5" s="29" t="s">
        <v>713</v>
      </c>
      <c r="D5" s="9" t="s">
        <v>719</v>
      </c>
    </row>
    <row r="6" customFormat="false" ht="49.5" hidden="false" customHeight="true" outlineLevel="0" collapsed="false">
      <c r="A6" s="8" t="s">
        <v>711</v>
      </c>
      <c r="B6" s="8" t="s">
        <v>720</v>
      </c>
      <c r="C6" s="29" t="s">
        <v>713</v>
      </c>
      <c r="D6" s="9" t="s">
        <v>721</v>
      </c>
    </row>
    <row r="7" customFormat="false" ht="63.75" hidden="false" customHeight="true" outlineLevel="0" collapsed="false">
      <c r="A7" s="8" t="s">
        <v>722</v>
      </c>
      <c r="B7" s="8" t="s">
        <v>723</v>
      </c>
      <c r="C7" s="30" t="s">
        <v>724</v>
      </c>
      <c r="D7" s="9" t="s">
        <v>725</v>
      </c>
    </row>
    <row r="8" customFormat="false" ht="63.75" hidden="false" customHeight="true" outlineLevel="0" collapsed="false">
      <c r="A8" s="8" t="s">
        <v>722</v>
      </c>
      <c r="B8" s="8" t="s">
        <v>726</v>
      </c>
      <c r="C8" s="31" t="s">
        <v>727</v>
      </c>
      <c r="D8" s="9" t="s">
        <v>728</v>
      </c>
    </row>
    <row r="9" customFormat="false" ht="49.5" hidden="false" customHeight="true" outlineLevel="0" collapsed="false">
      <c r="A9" s="8" t="s">
        <v>729</v>
      </c>
      <c r="B9" s="8" t="s">
        <v>730</v>
      </c>
      <c r="C9" s="32" t="s">
        <v>731</v>
      </c>
      <c r="D9" s="9" t="s">
        <v>732</v>
      </c>
    </row>
    <row r="10" customFormat="false" ht="49.5" hidden="false" customHeight="true" outlineLevel="0" collapsed="false">
      <c r="A10" s="8" t="s">
        <v>733</v>
      </c>
      <c r="B10" s="8" t="s">
        <v>734</v>
      </c>
      <c r="C10" s="33" t="s">
        <v>735</v>
      </c>
      <c r="D10" s="9" t="s">
        <v>736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2026-04-23T18:36:24Z</dcterms:created>
  <dc:creator>openpyxl</dc:creator>
  <dc:description/>
  <dc:language>en-US</dc:language>
  <cp:lastModifiedBy/>
  <dcterms:modified xsi:type="dcterms:W3CDTF">2026-04-23T18:36:25Z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